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6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17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18.xml" ContentType="application/vnd.openxmlformats-officedocument.drawing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19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20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21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22.xml" ContentType="application/vnd.openxmlformats-officedocument.drawing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23.xml" ContentType="application/vnd.openxmlformats-officedocument.drawing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T:\Laboratorio\RELATÓRIOS DE ENSAIOS\Relatórios CV-2025\INGEOELÉCTRICA\OS 25757\"/>
    </mc:Choice>
  </mc:AlternateContent>
  <xr:revisionPtr revIDLastSave="0" documentId="13_ncr:1_{97ABF693-796A-47D6-8D9B-F71BEF025497}" xr6:coauthVersionLast="47" xr6:coauthVersionMax="47" xr10:uidLastSave="{00000000-0000-0000-0000-000000000000}"/>
  <bookViews>
    <workbookView xWindow="-120" yWindow="-120" windowWidth="20730" windowHeight="11160" tabRatio="742" activeTab="15" xr2:uid="{00000000-000D-0000-FFFF-FFFF00000000}"/>
  </bookViews>
  <sheets>
    <sheet name="Dados" sheetId="30" r:id="rId1"/>
    <sheet name="1" sheetId="10" r:id="rId2"/>
    <sheet name="Consulta" sheetId="3" state="hidden" r:id="rId3"/>
    <sheet name="2" sheetId="11" r:id="rId4"/>
    <sheet name="3" sheetId="12" r:id="rId5"/>
    <sheet name="4" sheetId="13" r:id="rId6"/>
    <sheet name="5" sheetId="14" r:id="rId7"/>
    <sheet name="6" sheetId="15" r:id="rId8"/>
    <sheet name="7" sheetId="16" r:id="rId9"/>
    <sheet name="8" sheetId="18" r:id="rId10"/>
    <sheet name="9" sheetId="17" r:id="rId11"/>
    <sheet name="10" sheetId="19" r:id="rId12"/>
    <sheet name="11" sheetId="20" r:id="rId13"/>
    <sheet name="12" sheetId="21" r:id="rId14"/>
    <sheet name="13" sheetId="22" r:id="rId15"/>
    <sheet name="14" sheetId="23" r:id="rId16"/>
    <sheet name="15" sheetId="24" r:id="rId17"/>
    <sheet name="16" sheetId="25" r:id="rId18"/>
    <sheet name="17" sheetId="27" r:id="rId19"/>
    <sheet name="18" sheetId="26" r:id="rId20"/>
    <sheet name="19" sheetId="28" r:id="rId21"/>
    <sheet name="20" sheetId="29" r:id="rId22"/>
    <sheet name="Assis." sheetId="31" r:id="rId23"/>
  </sheets>
  <definedNames>
    <definedName name="_xlnm.Print_Area" localSheetId="1">'1'!$A$1:$I$42</definedName>
    <definedName name="_xlnm.Print_Area" localSheetId="11">'10'!$A$1:$I$42</definedName>
    <definedName name="_xlnm.Print_Area" localSheetId="12">'11'!$A$1:$I$42</definedName>
    <definedName name="_xlnm.Print_Area" localSheetId="13">'12'!$A$1:$I$42</definedName>
    <definedName name="_xlnm.Print_Area" localSheetId="14">'13'!$A$1:$I$42</definedName>
    <definedName name="_xlnm.Print_Area" localSheetId="15">'14'!$A$1:$I$42</definedName>
    <definedName name="_xlnm.Print_Area" localSheetId="16">'15'!$A$1:$I$42</definedName>
    <definedName name="_xlnm.Print_Area" localSheetId="17">'16'!$A$1:$I$42</definedName>
    <definedName name="_xlnm.Print_Area" localSheetId="18">'17'!$A$1:$I$42</definedName>
    <definedName name="_xlnm.Print_Area" localSheetId="19">'18'!$A$1:$I$42</definedName>
    <definedName name="_xlnm.Print_Area" localSheetId="20">'19'!$A$1:$I$42</definedName>
    <definedName name="_xlnm.Print_Area" localSheetId="3">'2'!$A$1:$I$42</definedName>
    <definedName name="_xlnm.Print_Area" localSheetId="21">'20'!$A$1:$I$42</definedName>
    <definedName name="_xlnm.Print_Area" localSheetId="4">'3'!$A$1:$I$42</definedName>
    <definedName name="_xlnm.Print_Area" localSheetId="5">'4'!$A$1:$I$42</definedName>
    <definedName name="_xlnm.Print_Area" localSheetId="6">'5'!$A$1:$I$42</definedName>
    <definedName name="_xlnm.Print_Area" localSheetId="7">'6'!$A$1:$I$42</definedName>
    <definedName name="_xlnm.Print_Area" localSheetId="8">'7'!$A$1:$I$42</definedName>
    <definedName name="_xlnm.Print_Area" localSheetId="9">'8'!$A$1:$I$42</definedName>
    <definedName name="_xlnm.Print_Area" localSheetId="10">'9'!$A$1:$I$42</definedName>
    <definedName name="_xlnm.Print_Area" localSheetId="22">Assis.!$A$1:$I$53</definedName>
    <definedName name="_xlnm.Print_Area" localSheetId="0">Dados!$A$1:$I$46</definedName>
    <definedName name="_xlnm.Print_Titles" localSheetId="1">'1'!#REF!</definedName>
    <definedName name="_xlnm.Print_Titles" localSheetId="11">'10'!#REF!</definedName>
    <definedName name="_xlnm.Print_Titles" localSheetId="12">'11'!#REF!</definedName>
    <definedName name="_xlnm.Print_Titles" localSheetId="13">'12'!#REF!</definedName>
    <definedName name="_xlnm.Print_Titles" localSheetId="14">'13'!#REF!</definedName>
    <definedName name="_xlnm.Print_Titles" localSheetId="15">'14'!#REF!</definedName>
    <definedName name="_xlnm.Print_Titles" localSheetId="16">'15'!#REF!</definedName>
    <definedName name="_xlnm.Print_Titles" localSheetId="17">'16'!#REF!</definedName>
    <definedName name="_xlnm.Print_Titles" localSheetId="18">'17'!#REF!</definedName>
    <definedName name="_xlnm.Print_Titles" localSheetId="19">'18'!#REF!</definedName>
    <definedName name="_xlnm.Print_Titles" localSheetId="20">'19'!#REF!</definedName>
    <definedName name="_xlnm.Print_Titles" localSheetId="3">'2'!#REF!</definedName>
    <definedName name="_xlnm.Print_Titles" localSheetId="21">'20'!#REF!</definedName>
    <definedName name="_xlnm.Print_Titles" localSheetId="4">'3'!#REF!</definedName>
    <definedName name="_xlnm.Print_Titles" localSheetId="5">'4'!#REF!</definedName>
    <definedName name="_xlnm.Print_Titles" localSheetId="6">'5'!#REF!</definedName>
    <definedName name="_xlnm.Print_Titles" localSheetId="7">'6'!#REF!</definedName>
    <definedName name="_xlnm.Print_Titles" localSheetId="8">'7'!#REF!</definedName>
    <definedName name="_xlnm.Print_Titles" localSheetId="9">'8'!#REF!</definedName>
    <definedName name="_xlnm.Print_Titles" localSheetId="10">'9'!#REF!</definedName>
    <definedName name="_xlnm.Print_Titles" localSheetId="22">Assis.!#REF!</definedName>
    <definedName name="_xlnm.Print_Titles" localSheetId="0">Dados!$1:$3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1" l="1"/>
  <c r="B14" i="12"/>
  <c r="B14" i="13"/>
  <c r="B14" i="14"/>
  <c r="B14" i="15"/>
  <c r="B14" i="16"/>
  <c r="B14" i="18"/>
  <c r="B14" i="17"/>
  <c r="B14" i="19"/>
  <c r="B14" i="20"/>
  <c r="B14" i="21"/>
  <c r="B14" i="22"/>
  <c r="B14" i="23"/>
  <c r="B14" i="24"/>
  <c r="B14" i="25"/>
  <c r="B14" i="27"/>
  <c r="B14" i="26"/>
  <c r="B14" i="28"/>
  <c r="B14" i="29"/>
  <c r="B14" i="10"/>
  <c r="B13" i="11"/>
  <c r="B13" i="12"/>
  <c r="B13" i="13"/>
  <c r="B13" i="14"/>
  <c r="G42" i="14" s="1"/>
  <c r="B13" i="15"/>
  <c r="G37" i="15" s="1"/>
  <c r="B13" i="16"/>
  <c r="G42" i="16" s="1"/>
  <c r="B13" i="18"/>
  <c r="G42" i="18" s="1"/>
  <c r="B13" i="17"/>
  <c r="B13" i="19"/>
  <c r="G42" i="19" s="1"/>
  <c r="B13" i="20"/>
  <c r="B13" i="21"/>
  <c r="G37" i="21" s="1"/>
  <c r="B13" i="22"/>
  <c r="G42" i="22" s="1"/>
  <c r="B13" i="23"/>
  <c r="G37" i="23" s="1"/>
  <c r="B13" i="24"/>
  <c r="B13" i="25"/>
  <c r="B13" i="27"/>
  <c r="B13" i="26"/>
  <c r="G42" i="26" s="1"/>
  <c r="B13" i="28"/>
  <c r="G42" i="28" s="1"/>
  <c r="B13" i="29"/>
  <c r="G42" i="29" s="1"/>
  <c r="B13" i="10"/>
  <c r="B12" i="11"/>
  <c r="B12" i="12"/>
  <c r="B12" i="13"/>
  <c r="B12" i="14"/>
  <c r="B12" i="15"/>
  <c r="B12" i="16"/>
  <c r="G36" i="16" s="1"/>
  <c r="B12" i="18"/>
  <c r="G36" i="18" s="1"/>
  <c r="B12" i="17"/>
  <c r="B12" i="19"/>
  <c r="G36" i="19" s="1"/>
  <c r="B12" i="20"/>
  <c r="B12" i="21"/>
  <c r="B12" i="22"/>
  <c r="B12" i="23"/>
  <c r="G36" i="23" s="1"/>
  <c r="B12" i="24"/>
  <c r="B12" i="25"/>
  <c r="G36" i="25" s="1"/>
  <c r="B12" i="27"/>
  <c r="G36" i="27" s="1"/>
  <c r="B12" i="26"/>
  <c r="G36" i="26" s="1"/>
  <c r="B12" i="28"/>
  <c r="G36" i="28" s="1"/>
  <c r="B12" i="29"/>
  <c r="G36" i="29" s="1"/>
  <c r="B12" i="10"/>
  <c r="B11" i="11"/>
  <c r="B11" i="12"/>
  <c r="B11" i="13"/>
  <c r="B11" i="14"/>
  <c r="B11" i="15"/>
  <c r="B11" i="16"/>
  <c r="B11" i="18"/>
  <c r="B11" i="17"/>
  <c r="B11" i="19"/>
  <c r="B11" i="20"/>
  <c r="B11" i="21"/>
  <c r="B11" i="22"/>
  <c r="B11" i="23"/>
  <c r="B11" i="24"/>
  <c r="B11" i="25"/>
  <c r="B11" i="27"/>
  <c r="B11" i="26"/>
  <c r="B11" i="28"/>
  <c r="B11" i="29"/>
  <c r="B11" i="10"/>
  <c r="B10" i="11"/>
  <c r="B10" i="12"/>
  <c r="B10" i="13"/>
  <c r="B10" i="14"/>
  <c r="B10" i="15"/>
  <c r="B10" i="16"/>
  <c r="B10" i="18"/>
  <c r="B10" i="17"/>
  <c r="B10" i="19"/>
  <c r="B10" i="20"/>
  <c r="B10" i="21"/>
  <c r="B10" i="22"/>
  <c r="B10" i="23"/>
  <c r="B10" i="24"/>
  <c r="B10" i="25"/>
  <c r="B10" i="27"/>
  <c r="B10" i="26"/>
  <c r="B10" i="28"/>
  <c r="B10" i="29"/>
  <c r="B10" i="10"/>
  <c r="B9" i="11"/>
  <c r="B9" i="12"/>
  <c r="B9" i="13"/>
  <c r="B9" i="14"/>
  <c r="G35" i="14" s="1"/>
  <c r="B9" i="15"/>
  <c r="G35" i="15" s="1"/>
  <c r="B9" i="16"/>
  <c r="G35" i="16" s="1"/>
  <c r="B9" i="18"/>
  <c r="B9" i="17"/>
  <c r="G30" i="17" s="1"/>
  <c r="I30" i="17" s="1"/>
  <c r="B9" i="19"/>
  <c r="B9" i="20"/>
  <c r="B9" i="21"/>
  <c r="G35" i="21" s="1"/>
  <c r="B9" i="22"/>
  <c r="B9" i="23"/>
  <c r="G35" i="23" s="1"/>
  <c r="B9" i="24"/>
  <c r="G35" i="24" s="1"/>
  <c r="B9" i="25"/>
  <c r="B9" i="27"/>
  <c r="G35" i="27" s="1"/>
  <c r="B9" i="26"/>
  <c r="G30" i="26" s="1"/>
  <c r="B9" i="28"/>
  <c r="G35" i="28" s="1"/>
  <c r="B9" i="29"/>
  <c r="G35" i="29" s="1"/>
  <c r="B9" i="10"/>
  <c r="B8" i="11"/>
  <c r="B8" i="12"/>
  <c r="B8" i="13"/>
  <c r="B8" i="14"/>
  <c r="B8" i="15"/>
  <c r="B8" i="16"/>
  <c r="B8" i="18"/>
  <c r="B8" i="17"/>
  <c r="B8" i="19"/>
  <c r="B8" i="20"/>
  <c r="B8" i="21"/>
  <c r="B8" i="22"/>
  <c r="B8" i="23"/>
  <c r="B8" i="24"/>
  <c r="B8" i="25"/>
  <c r="B8" i="27"/>
  <c r="B8" i="26"/>
  <c r="B8" i="28"/>
  <c r="B8" i="29"/>
  <c r="B8" i="10"/>
  <c r="B7" i="11"/>
  <c r="B7" i="12"/>
  <c r="B7" i="13"/>
  <c r="B7" i="14"/>
  <c r="G39" i="14" s="1"/>
  <c r="B7" i="15"/>
  <c r="G39" i="15" s="1"/>
  <c r="B7" i="16"/>
  <c r="G39" i="16" s="1"/>
  <c r="B7" i="18"/>
  <c r="G39" i="18" s="1"/>
  <c r="B7" i="17"/>
  <c r="G39" i="17" s="1"/>
  <c r="B7" i="19"/>
  <c r="B7" i="20"/>
  <c r="B7" i="21"/>
  <c r="B7" i="22"/>
  <c r="G39" i="22" s="1"/>
  <c r="B7" i="23"/>
  <c r="G39" i="23" s="1"/>
  <c r="B7" i="24"/>
  <c r="G39" i="24" s="1"/>
  <c r="B7" i="25"/>
  <c r="G39" i="25" s="1"/>
  <c r="B7" i="27"/>
  <c r="G39" i="27" s="1"/>
  <c r="B7" i="26"/>
  <c r="G39" i="26" s="1"/>
  <c r="B7" i="28"/>
  <c r="B7" i="29"/>
  <c r="G39" i="29" s="1"/>
  <c r="B7" i="10"/>
  <c r="B6" i="11"/>
  <c r="B6" i="12"/>
  <c r="B6" i="13"/>
  <c r="B6" i="14"/>
  <c r="B6" i="15"/>
  <c r="G38" i="15" s="1"/>
  <c r="B6" i="16"/>
  <c r="G33" i="16" s="1"/>
  <c r="I33" i="16" s="1"/>
  <c r="B6" i="18"/>
  <c r="G38" i="18" s="1"/>
  <c r="B6" i="17"/>
  <c r="B6" i="19"/>
  <c r="G38" i="19" s="1"/>
  <c r="B6" i="20"/>
  <c r="G38" i="20" s="1"/>
  <c r="B6" i="21"/>
  <c r="B6" i="22"/>
  <c r="G38" i="22" s="1"/>
  <c r="B6" i="23"/>
  <c r="G38" i="23" s="1"/>
  <c r="B6" i="24"/>
  <c r="B6" i="25"/>
  <c r="G38" i="25" s="1"/>
  <c r="B6" i="27"/>
  <c r="G38" i="27" s="1"/>
  <c r="B6" i="26"/>
  <c r="G38" i="26" s="1"/>
  <c r="B6" i="28"/>
  <c r="G33" i="28" s="1"/>
  <c r="B6" i="29"/>
  <c r="G38" i="29" s="1"/>
  <c r="B6" i="10"/>
  <c r="R1" i="31"/>
  <c r="Q1" i="31"/>
  <c r="P1" i="31"/>
  <c r="O1" i="31"/>
  <c r="N1" i="31"/>
  <c r="M1" i="31"/>
  <c r="H42" i="29"/>
  <c r="Q42" i="29" s="1"/>
  <c r="C42" i="29"/>
  <c r="M42" i="29" s="1"/>
  <c r="H41" i="29"/>
  <c r="C41" i="29"/>
  <c r="P41" i="29" s="1"/>
  <c r="H40" i="29"/>
  <c r="C40" i="29"/>
  <c r="P40" i="29" s="1"/>
  <c r="H39" i="29"/>
  <c r="C39" i="29"/>
  <c r="Q39" i="29" s="1"/>
  <c r="H38" i="29"/>
  <c r="C38" i="29"/>
  <c r="H37" i="29"/>
  <c r="Q37" i="29" s="1"/>
  <c r="C37" i="29"/>
  <c r="O37" i="29" s="1"/>
  <c r="H36" i="29"/>
  <c r="C36" i="29"/>
  <c r="P36" i="29" s="1"/>
  <c r="H35" i="29"/>
  <c r="C35" i="29"/>
  <c r="H34" i="29"/>
  <c r="C34" i="29"/>
  <c r="R34" i="29" s="1"/>
  <c r="H33" i="29"/>
  <c r="C33" i="29"/>
  <c r="O33" i="29" s="1"/>
  <c r="H32" i="29"/>
  <c r="Q32" i="29" s="1"/>
  <c r="C32" i="29"/>
  <c r="H31" i="29"/>
  <c r="C31" i="29"/>
  <c r="P31" i="29" s="1"/>
  <c r="H30" i="29"/>
  <c r="C30" i="29"/>
  <c r="O30" i="29" s="1"/>
  <c r="M29" i="29"/>
  <c r="H29" i="29"/>
  <c r="C29" i="29"/>
  <c r="Q29" i="29" s="1"/>
  <c r="H28" i="29"/>
  <c r="C28" i="29"/>
  <c r="S13" i="29"/>
  <c r="T13" i="29" s="1"/>
  <c r="Q13" i="29"/>
  <c r="R13" i="29" s="1"/>
  <c r="U13" i="29" s="1"/>
  <c r="U12" i="29"/>
  <c r="T12" i="29"/>
  <c r="S12" i="29"/>
  <c r="S10" i="29"/>
  <c r="T10" i="29" s="1"/>
  <c r="Q10" i="29"/>
  <c r="R10" i="29" s="1"/>
  <c r="U10" i="29" s="1"/>
  <c r="U9" i="29"/>
  <c r="T9" i="29"/>
  <c r="S9" i="29"/>
  <c r="S7" i="29"/>
  <c r="T7" i="29" s="1"/>
  <c r="Q7" i="29"/>
  <c r="R7" i="29" s="1"/>
  <c r="U7" i="29" s="1"/>
  <c r="U6" i="29"/>
  <c r="T6" i="29"/>
  <c r="S6" i="29"/>
  <c r="H42" i="28"/>
  <c r="Q42" i="28" s="1"/>
  <c r="C42" i="28"/>
  <c r="M42" i="28" s="1"/>
  <c r="H41" i="28"/>
  <c r="C41" i="28"/>
  <c r="P41" i="28" s="1"/>
  <c r="H40" i="28"/>
  <c r="C40" i="28"/>
  <c r="O40" i="28" s="1"/>
  <c r="H39" i="28"/>
  <c r="C39" i="28"/>
  <c r="M39" i="28" s="1"/>
  <c r="H38" i="28"/>
  <c r="C38" i="28"/>
  <c r="Q38" i="28" s="1"/>
  <c r="H37" i="28"/>
  <c r="Q37" i="28" s="1"/>
  <c r="C37" i="28"/>
  <c r="O37" i="28" s="1"/>
  <c r="H36" i="28"/>
  <c r="C36" i="28"/>
  <c r="P36" i="28" s="1"/>
  <c r="H35" i="28"/>
  <c r="C35" i="28"/>
  <c r="H34" i="28"/>
  <c r="C34" i="28"/>
  <c r="R34" i="28" s="1"/>
  <c r="H33" i="28"/>
  <c r="C33" i="28"/>
  <c r="O33" i="28" s="1"/>
  <c r="H32" i="28"/>
  <c r="Q32" i="28" s="1"/>
  <c r="C32" i="28"/>
  <c r="H31" i="28"/>
  <c r="C31" i="28"/>
  <c r="P31" i="28" s="1"/>
  <c r="H30" i="28"/>
  <c r="C30" i="28"/>
  <c r="O30" i="28" s="1"/>
  <c r="Q29" i="28"/>
  <c r="N29" i="28"/>
  <c r="H29" i="28"/>
  <c r="C29" i="28"/>
  <c r="M29" i="28" s="1"/>
  <c r="H28" i="28"/>
  <c r="C28" i="28"/>
  <c r="R28" i="28" s="1"/>
  <c r="S13" i="28"/>
  <c r="T13" i="28" s="1"/>
  <c r="Q13" i="28"/>
  <c r="R13" i="28" s="1"/>
  <c r="U13" i="28" s="1"/>
  <c r="U12" i="28"/>
  <c r="T12" i="28"/>
  <c r="S12" i="28"/>
  <c r="S10" i="28"/>
  <c r="T10" i="28" s="1"/>
  <c r="Q10" i="28"/>
  <c r="R10" i="28" s="1"/>
  <c r="U10" i="28" s="1"/>
  <c r="U9" i="28"/>
  <c r="T9" i="28"/>
  <c r="S9" i="28"/>
  <c r="S7" i="28"/>
  <c r="T7" i="28" s="1"/>
  <c r="Q7" i="28"/>
  <c r="R7" i="28" s="1"/>
  <c r="U7" i="28" s="1"/>
  <c r="G39" i="28"/>
  <c r="U6" i="28"/>
  <c r="T6" i="28"/>
  <c r="S6" i="28"/>
  <c r="H42" i="27"/>
  <c r="Q42" i="27" s="1"/>
  <c r="C42" i="27"/>
  <c r="M42" i="27" s="1"/>
  <c r="H41" i="27"/>
  <c r="C41" i="27"/>
  <c r="P41" i="27" s="1"/>
  <c r="H40" i="27"/>
  <c r="C40" i="27"/>
  <c r="O40" i="27" s="1"/>
  <c r="H39" i="27"/>
  <c r="C39" i="27"/>
  <c r="Q39" i="27" s="1"/>
  <c r="H38" i="27"/>
  <c r="C38" i="27"/>
  <c r="Q38" i="27" s="1"/>
  <c r="H37" i="27"/>
  <c r="Q37" i="27" s="1"/>
  <c r="C37" i="27"/>
  <c r="O37" i="27" s="1"/>
  <c r="H36" i="27"/>
  <c r="C36" i="27"/>
  <c r="P36" i="27" s="1"/>
  <c r="H35" i="27"/>
  <c r="C35" i="27"/>
  <c r="H34" i="27"/>
  <c r="C34" i="27"/>
  <c r="R34" i="27" s="1"/>
  <c r="H33" i="27"/>
  <c r="C33" i="27"/>
  <c r="O33" i="27" s="1"/>
  <c r="H32" i="27"/>
  <c r="Q32" i="27" s="1"/>
  <c r="C32" i="27"/>
  <c r="M32" i="27" s="1"/>
  <c r="H31" i="27"/>
  <c r="C31" i="27"/>
  <c r="O31" i="27" s="1"/>
  <c r="P30" i="27"/>
  <c r="H30" i="27"/>
  <c r="C30" i="27"/>
  <c r="O30" i="27" s="1"/>
  <c r="H29" i="27"/>
  <c r="C29" i="27"/>
  <c r="Q29" i="27" s="1"/>
  <c r="H28" i="27"/>
  <c r="C28" i="27"/>
  <c r="Q28" i="27" s="1"/>
  <c r="S13" i="27"/>
  <c r="T13" i="27" s="1"/>
  <c r="Q13" i="27"/>
  <c r="R13" i="27" s="1"/>
  <c r="U13" i="27" s="1"/>
  <c r="G42" i="27"/>
  <c r="U12" i="27"/>
  <c r="T12" i="27"/>
  <c r="S12" i="27"/>
  <c r="S10" i="27"/>
  <c r="T10" i="27" s="1"/>
  <c r="Q10" i="27"/>
  <c r="R10" i="27" s="1"/>
  <c r="U10" i="27" s="1"/>
  <c r="U9" i="27"/>
  <c r="T9" i="27"/>
  <c r="S9" i="27"/>
  <c r="S7" i="27"/>
  <c r="T7" i="27" s="1"/>
  <c r="Q7" i="27"/>
  <c r="R7" i="27" s="1"/>
  <c r="U7" i="27" s="1"/>
  <c r="U6" i="27"/>
  <c r="T6" i="27"/>
  <c r="S6" i="27"/>
  <c r="H42" i="26"/>
  <c r="Q42" i="26" s="1"/>
  <c r="C42" i="26"/>
  <c r="M42" i="26" s="1"/>
  <c r="H41" i="26"/>
  <c r="C41" i="26"/>
  <c r="P41" i="26" s="1"/>
  <c r="H40" i="26"/>
  <c r="C40" i="26"/>
  <c r="O40" i="26" s="1"/>
  <c r="H39" i="26"/>
  <c r="C39" i="26"/>
  <c r="Q39" i="26" s="1"/>
  <c r="H38" i="26"/>
  <c r="C38" i="26"/>
  <c r="Q38" i="26" s="1"/>
  <c r="H37" i="26"/>
  <c r="Q37" i="26" s="1"/>
  <c r="C37" i="26"/>
  <c r="O37" i="26" s="1"/>
  <c r="H36" i="26"/>
  <c r="C36" i="26"/>
  <c r="P36" i="26" s="1"/>
  <c r="H35" i="26"/>
  <c r="C35" i="26"/>
  <c r="H34" i="26"/>
  <c r="C34" i="26"/>
  <c r="R34" i="26" s="1"/>
  <c r="H33" i="26"/>
  <c r="C33" i="26"/>
  <c r="O33" i="26" s="1"/>
  <c r="H32" i="26"/>
  <c r="Q32" i="26" s="1"/>
  <c r="C32" i="26"/>
  <c r="M32" i="26" s="1"/>
  <c r="H31" i="26"/>
  <c r="C31" i="26"/>
  <c r="P31" i="26" s="1"/>
  <c r="H30" i="26"/>
  <c r="C30" i="26"/>
  <c r="O30" i="26" s="1"/>
  <c r="H29" i="26"/>
  <c r="C29" i="26"/>
  <c r="Q29" i="26" s="1"/>
  <c r="H28" i="26"/>
  <c r="C28" i="26"/>
  <c r="Q28" i="26" s="1"/>
  <c r="S13" i="26"/>
  <c r="T13" i="26" s="1"/>
  <c r="Q13" i="26"/>
  <c r="R13" i="26" s="1"/>
  <c r="U13" i="26" s="1"/>
  <c r="U12" i="26"/>
  <c r="T12" i="26"/>
  <c r="S12" i="26"/>
  <c r="S10" i="26"/>
  <c r="T10" i="26" s="1"/>
  <c r="Q10" i="26"/>
  <c r="R10" i="26" s="1"/>
  <c r="U10" i="26" s="1"/>
  <c r="U9" i="26"/>
  <c r="T9" i="26"/>
  <c r="S9" i="26"/>
  <c r="S7" i="26"/>
  <c r="T7" i="26" s="1"/>
  <c r="Q7" i="26"/>
  <c r="R7" i="26" s="1"/>
  <c r="U7" i="26" s="1"/>
  <c r="U6" i="26"/>
  <c r="T6" i="26"/>
  <c r="S6" i="26"/>
  <c r="H42" i="25"/>
  <c r="Q42" i="25" s="1"/>
  <c r="C42" i="25"/>
  <c r="O42" i="25" s="1"/>
  <c r="H41" i="25"/>
  <c r="C41" i="25"/>
  <c r="P41" i="25" s="1"/>
  <c r="H40" i="25"/>
  <c r="C40" i="25"/>
  <c r="O40" i="25" s="1"/>
  <c r="H39" i="25"/>
  <c r="C39" i="25"/>
  <c r="R39" i="25" s="1"/>
  <c r="H38" i="25"/>
  <c r="C38" i="25"/>
  <c r="H37" i="25"/>
  <c r="Q37" i="25" s="1"/>
  <c r="C37" i="25"/>
  <c r="O37" i="25" s="1"/>
  <c r="H36" i="25"/>
  <c r="C36" i="25"/>
  <c r="N36" i="25" s="1"/>
  <c r="H35" i="25"/>
  <c r="C35" i="25"/>
  <c r="N35" i="25" s="1"/>
  <c r="H34" i="25"/>
  <c r="C34" i="25"/>
  <c r="R34" i="25" s="1"/>
  <c r="H33" i="25"/>
  <c r="C33" i="25"/>
  <c r="O33" i="25" s="1"/>
  <c r="H32" i="25"/>
  <c r="Q32" i="25" s="1"/>
  <c r="C32" i="25"/>
  <c r="O31" i="25"/>
  <c r="H31" i="25"/>
  <c r="C31" i="25"/>
  <c r="P31" i="25" s="1"/>
  <c r="H30" i="25"/>
  <c r="C30" i="25"/>
  <c r="O30" i="25" s="1"/>
  <c r="H29" i="25"/>
  <c r="C29" i="25"/>
  <c r="H28" i="25"/>
  <c r="C28" i="25"/>
  <c r="S13" i="25"/>
  <c r="T13" i="25" s="1"/>
  <c r="Q13" i="25"/>
  <c r="R13" i="25" s="1"/>
  <c r="U13" i="25" s="1"/>
  <c r="U12" i="25"/>
  <c r="T12" i="25"/>
  <c r="S12" i="25"/>
  <c r="S10" i="25"/>
  <c r="T10" i="25" s="1"/>
  <c r="Q10" i="25"/>
  <c r="R10" i="25" s="1"/>
  <c r="U10" i="25" s="1"/>
  <c r="U9" i="25"/>
  <c r="T9" i="25"/>
  <c r="S9" i="25"/>
  <c r="G35" i="25"/>
  <c r="S7" i="25"/>
  <c r="T7" i="25" s="1"/>
  <c r="Q7" i="25"/>
  <c r="R7" i="25" s="1"/>
  <c r="U7" i="25" s="1"/>
  <c r="U6" i="25"/>
  <c r="T6" i="25"/>
  <c r="S6" i="25"/>
  <c r="H42" i="24"/>
  <c r="Q42" i="24" s="1"/>
  <c r="C42" i="24"/>
  <c r="P41" i="24"/>
  <c r="H41" i="24"/>
  <c r="C41" i="24"/>
  <c r="O41" i="24" s="1"/>
  <c r="H40" i="24"/>
  <c r="C40" i="24"/>
  <c r="O40" i="24" s="1"/>
  <c r="H39" i="24"/>
  <c r="C39" i="24"/>
  <c r="M39" i="24" s="1"/>
  <c r="H38" i="24"/>
  <c r="C38" i="24"/>
  <c r="P37" i="24"/>
  <c r="H37" i="24"/>
  <c r="Q37" i="24" s="1"/>
  <c r="C37" i="24"/>
  <c r="O37" i="24" s="1"/>
  <c r="H36" i="24"/>
  <c r="C36" i="24"/>
  <c r="H35" i="24"/>
  <c r="C35" i="24"/>
  <c r="O35" i="24" s="1"/>
  <c r="H34" i="24"/>
  <c r="C34" i="24"/>
  <c r="R34" i="24" s="1"/>
  <c r="H33" i="24"/>
  <c r="C33" i="24"/>
  <c r="O33" i="24" s="1"/>
  <c r="H32" i="24"/>
  <c r="Q32" i="24" s="1"/>
  <c r="C32" i="24"/>
  <c r="O32" i="24" s="1"/>
  <c r="H31" i="24"/>
  <c r="C31" i="24"/>
  <c r="P31" i="24" s="1"/>
  <c r="P30" i="24"/>
  <c r="H30" i="24"/>
  <c r="C30" i="24"/>
  <c r="O30" i="24" s="1"/>
  <c r="H29" i="24"/>
  <c r="C29" i="24"/>
  <c r="N29" i="24" s="1"/>
  <c r="H28" i="24"/>
  <c r="C28" i="24"/>
  <c r="S13" i="24"/>
  <c r="T13" i="24" s="1"/>
  <c r="Q13" i="24"/>
  <c r="R13" i="24" s="1"/>
  <c r="U13" i="24" s="1"/>
  <c r="G37" i="24"/>
  <c r="U12" i="24"/>
  <c r="T12" i="24"/>
  <c r="S12" i="24"/>
  <c r="S10" i="24"/>
  <c r="T10" i="24" s="1"/>
  <c r="Q10" i="24"/>
  <c r="R10" i="24" s="1"/>
  <c r="U10" i="24" s="1"/>
  <c r="U9" i="24"/>
  <c r="T9" i="24"/>
  <c r="S9" i="24"/>
  <c r="S7" i="24"/>
  <c r="T7" i="24" s="1"/>
  <c r="Q7" i="24"/>
  <c r="R7" i="24" s="1"/>
  <c r="U7" i="24" s="1"/>
  <c r="U6" i="24"/>
  <c r="T6" i="24"/>
  <c r="S6" i="24"/>
  <c r="G38" i="24"/>
  <c r="H42" i="23"/>
  <c r="Q42" i="23" s="1"/>
  <c r="C42" i="23"/>
  <c r="M42" i="23" s="1"/>
  <c r="H41" i="23"/>
  <c r="C41" i="23"/>
  <c r="O41" i="23" s="1"/>
  <c r="H40" i="23"/>
  <c r="C40" i="23"/>
  <c r="O40" i="23" s="1"/>
  <c r="H39" i="23"/>
  <c r="C39" i="23"/>
  <c r="Q39" i="23" s="1"/>
  <c r="H38" i="23"/>
  <c r="C38" i="23"/>
  <c r="Q38" i="23" s="1"/>
  <c r="H37" i="23"/>
  <c r="Q37" i="23" s="1"/>
  <c r="C37" i="23"/>
  <c r="N37" i="23" s="1"/>
  <c r="H36" i="23"/>
  <c r="C36" i="23"/>
  <c r="O36" i="23" s="1"/>
  <c r="H35" i="23"/>
  <c r="C35" i="23"/>
  <c r="H34" i="23"/>
  <c r="C34" i="23"/>
  <c r="R34" i="23" s="1"/>
  <c r="H33" i="23"/>
  <c r="C33" i="23"/>
  <c r="R33" i="23" s="1"/>
  <c r="H32" i="23"/>
  <c r="Q32" i="23" s="1"/>
  <c r="C32" i="23"/>
  <c r="M32" i="23" s="1"/>
  <c r="H31" i="23"/>
  <c r="C31" i="23"/>
  <c r="O31" i="23" s="1"/>
  <c r="H30" i="23"/>
  <c r="C30" i="23"/>
  <c r="O30" i="23" s="1"/>
  <c r="H29" i="23"/>
  <c r="C29" i="23"/>
  <c r="Q29" i="23" s="1"/>
  <c r="H28" i="23"/>
  <c r="C28" i="23"/>
  <c r="Q28" i="23" s="1"/>
  <c r="S13" i="23"/>
  <c r="T13" i="23" s="1"/>
  <c r="Q13" i="23"/>
  <c r="R13" i="23" s="1"/>
  <c r="U13" i="23" s="1"/>
  <c r="U12" i="23"/>
  <c r="T12" i="23"/>
  <c r="S12" i="23"/>
  <c r="S10" i="23"/>
  <c r="T10" i="23" s="1"/>
  <c r="Q10" i="23"/>
  <c r="R10" i="23" s="1"/>
  <c r="U10" i="23" s="1"/>
  <c r="U9" i="23"/>
  <c r="T9" i="23"/>
  <c r="S9" i="23"/>
  <c r="S7" i="23"/>
  <c r="T7" i="23" s="1"/>
  <c r="Q7" i="23"/>
  <c r="R7" i="23" s="1"/>
  <c r="U7" i="23" s="1"/>
  <c r="U6" i="23"/>
  <c r="T6" i="23"/>
  <c r="S6" i="23"/>
  <c r="H42" i="22"/>
  <c r="Q42" i="22" s="1"/>
  <c r="C42" i="22"/>
  <c r="M42" i="22" s="1"/>
  <c r="H41" i="22"/>
  <c r="C41" i="22"/>
  <c r="O41" i="22" s="1"/>
  <c r="H40" i="22"/>
  <c r="C40" i="22"/>
  <c r="O40" i="22" s="1"/>
  <c r="H39" i="22"/>
  <c r="C39" i="22"/>
  <c r="R39" i="22" s="1"/>
  <c r="H38" i="22"/>
  <c r="C38" i="22"/>
  <c r="Q38" i="22" s="1"/>
  <c r="H37" i="22"/>
  <c r="Q37" i="22" s="1"/>
  <c r="C37" i="22"/>
  <c r="O37" i="22" s="1"/>
  <c r="H36" i="22"/>
  <c r="C36" i="22"/>
  <c r="O36" i="22" s="1"/>
  <c r="H35" i="22"/>
  <c r="C35" i="22"/>
  <c r="H34" i="22"/>
  <c r="C34" i="22"/>
  <c r="R34" i="22" s="1"/>
  <c r="H33" i="22"/>
  <c r="C33" i="22"/>
  <c r="O33" i="22" s="1"/>
  <c r="H32" i="22"/>
  <c r="Q32" i="22" s="1"/>
  <c r="C32" i="22"/>
  <c r="M32" i="22" s="1"/>
  <c r="H31" i="22"/>
  <c r="C31" i="22"/>
  <c r="O31" i="22" s="1"/>
  <c r="H30" i="22"/>
  <c r="C30" i="22"/>
  <c r="O30" i="22" s="1"/>
  <c r="H29" i="22"/>
  <c r="C29" i="22"/>
  <c r="R29" i="22" s="1"/>
  <c r="H28" i="22"/>
  <c r="C28" i="22"/>
  <c r="Q28" i="22" s="1"/>
  <c r="S13" i="22"/>
  <c r="T13" i="22" s="1"/>
  <c r="Q13" i="22"/>
  <c r="R13" i="22" s="1"/>
  <c r="U13" i="22" s="1"/>
  <c r="U12" i="22"/>
  <c r="T12" i="22"/>
  <c r="S12" i="22"/>
  <c r="G36" i="22"/>
  <c r="S10" i="22"/>
  <c r="T10" i="22" s="1"/>
  <c r="Q10" i="22"/>
  <c r="R10" i="22" s="1"/>
  <c r="U10" i="22" s="1"/>
  <c r="U9" i="22"/>
  <c r="T9" i="22"/>
  <c r="S9" i="22"/>
  <c r="G35" i="22"/>
  <c r="S7" i="22"/>
  <c r="T7" i="22" s="1"/>
  <c r="Q7" i="22"/>
  <c r="R7" i="22" s="1"/>
  <c r="U7" i="22" s="1"/>
  <c r="U6" i="22"/>
  <c r="T6" i="22"/>
  <c r="S6" i="22"/>
  <c r="H42" i="21"/>
  <c r="Q42" i="21" s="1"/>
  <c r="C42" i="21"/>
  <c r="O42" i="21" s="1"/>
  <c r="H41" i="21"/>
  <c r="C41" i="21"/>
  <c r="P41" i="21" s="1"/>
  <c r="H40" i="21"/>
  <c r="C40" i="21"/>
  <c r="O40" i="21" s="1"/>
  <c r="H39" i="21"/>
  <c r="C39" i="21"/>
  <c r="R39" i="21" s="1"/>
  <c r="H38" i="21"/>
  <c r="C38" i="21"/>
  <c r="H37" i="21"/>
  <c r="Q37" i="21" s="1"/>
  <c r="C37" i="21"/>
  <c r="O37" i="21" s="1"/>
  <c r="H36" i="21"/>
  <c r="C36" i="21"/>
  <c r="N36" i="21" s="1"/>
  <c r="H35" i="21"/>
  <c r="C35" i="21"/>
  <c r="O35" i="21" s="1"/>
  <c r="H34" i="21"/>
  <c r="C34" i="21"/>
  <c r="R34" i="21" s="1"/>
  <c r="H33" i="21"/>
  <c r="C33" i="21"/>
  <c r="O33" i="21" s="1"/>
  <c r="H32" i="21"/>
  <c r="Q32" i="21" s="1"/>
  <c r="C32" i="21"/>
  <c r="M31" i="21"/>
  <c r="H31" i="21"/>
  <c r="Q31" i="21" s="1"/>
  <c r="C31" i="21"/>
  <c r="P31" i="21" s="1"/>
  <c r="H30" i="21"/>
  <c r="C30" i="21"/>
  <c r="O30" i="21" s="1"/>
  <c r="H29" i="21"/>
  <c r="C29" i="21"/>
  <c r="N29" i="21" s="1"/>
  <c r="H28" i="21"/>
  <c r="C28" i="21"/>
  <c r="S13" i="21"/>
  <c r="T13" i="21" s="1"/>
  <c r="Q13" i="21"/>
  <c r="R13" i="21" s="1"/>
  <c r="U13" i="21" s="1"/>
  <c r="U12" i="21"/>
  <c r="T12" i="21"/>
  <c r="S12" i="21"/>
  <c r="G36" i="21"/>
  <c r="S10" i="21"/>
  <c r="T10" i="21" s="1"/>
  <c r="Q10" i="21"/>
  <c r="R10" i="21" s="1"/>
  <c r="U10" i="21" s="1"/>
  <c r="U9" i="21"/>
  <c r="T9" i="21"/>
  <c r="S9" i="21"/>
  <c r="S7" i="21"/>
  <c r="T7" i="21" s="1"/>
  <c r="Q7" i="21"/>
  <c r="R7" i="21" s="1"/>
  <c r="U7" i="21" s="1"/>
  <c r="G39" i="21"/>
  <c r="U6" i="21"/>
  <c r="T6" i="21"/>
  <c r="S6" i="21"/>
  <c r="G38" i="21"/>
  <c r="H42" i="20"/>
  <c r="Q42" i="20" s="1"/>
  <c r="C42" i="20"/>
  <c r="M42" i="20" s="1"/>
  <c r="H41" i="20"/>
  <c r="C41" i="20"/>
  <c r="O41" i="20" s="1"/>
  <c r="H40" i="20"/>
  <c r="C40" i="20"/>
  <c r="O40" i="20" s="1"/>
  <c r="H39" i="20"/>
  <c r="C39" i="20"/>
  <c r="R39" i="20" s="1"/>
  <c r="H38" i="20"/>
  <c r="C38" i="20"/>
  <c r="Q38" i="20" s="1"/>
  <c r="H37" i="20"/>
  <c r="Q37" i="20" s="1"/>
  <c r="C37" i="20"/>
  <c r="O37" i="20" s="1"/>
  <c r="H36" i="20"/>
  <c r="C36" i="20"/>
  <c r="H35" i="20"/>
  <c r="C35" i="20"/>
  <c r="H34" i="20"/>
  <c r="C34" i="20"/>
  <c r="R34" i="20" s="1"/>
  <c r="H33" i="20"/>
  <c r="C33" i="20"/>
  <c r="O33" i="20" s="1"/>
  <c r="H32" i="20"/>
  <c r="Q32" i="20" s="1"/>
  <c r="C32" i="20"/>
  <c r="M32" i="20" s="1"/>
  <c r="H31" i="20"/>
  <c r="C31" i="20"/>
  <c r="O31" i="20" s="1"/>
  <c r="H30" i="20"/>
  <c r="C30" i="20"/>
  <c r="O30" i="20" s="1"/>
  <c r="H29" i="20"/>
  <c r="C29" i="20"/>
  <c r="R29" i="20" s="1"/>
  <c r="H28" i="20"/>
  <c r="C28" i="20"/>
  <c r="Q28" i="20" s="1"/>
  <c r="S13" i="20"/>
  <c r="T13" i="20" s="1"/>
  <c r="Q13" i="20"/>
  <c r="R13" i="20" s="1"/>
  <c r="U13" i="20" s="1"/>
  <c r="G42" i="20"/>
  <c r="U12" i="20"/>
  <c r="T12" i="20"/>
  <c r="S12" i="20"/>
  <c r="G36" i="20"/>
  <c r="S10" i="20"/>
  <c r="T10" i="20" s="1"/>
  <c r="Q10" i="20"/>
  <c r="R10" i="20" s="1"/>
  <c r="U10" i="20" s="1"/>
  <c r="U9" i="20"/>
  <c r="T9" i="20"/>
  <c r="S9" i="20"/>
  <c r="G35" i="20"/>
  <c r="S7" i="20"/>
  <c r="T7" i="20" s="1"/>
  <c r="Q7" i="20"/>
  <c r="R7" i="20" s="1"/>
  <c r="U7" i="20" s="1"/>
  <c r="G39" i="20"/>
  <c r="U6" i="20"/>
  <c r="T6" i="20"/>
  <c r="S6" i="20"/>
  <c r="H42" i="19"/>
  <c r="Q42" i="19" s="1"/>
  <c r="C42" i="19"/>
  <c r="M42" i="19" s="1"/>
  <c r="H41" i="19"/>
  <c r="C41" i="19"/>
  <c r="O41" i="19" s="1"/>
  <c r="H40" i="19"/>
  <c r="G40" i="19"/>
  <c r="C40" i="19"/>
  <c r="O40" i="19" s="1"/>
  <c r="H39" i="19"/>
  <c r="C39" i="19"/>
  <c r="Q39" i="19" s="1"/>
  <c r="H38" i="19"/>
  <c r="C38" i="19"/>
  <c r="Q38" i="19" s="1"/>
  <c r="H37" i="19"/>
  <c r="Q37" i="19" s="1"/>
  <c r="C37" i="19"/>
  <c r="O37" i="19" s="1"/>
  <c r="H36" i="19"/>
  <c r="C36" i="19"/>
  <c r="P36" i="19" s="1"/>
  <c r="H35" i="19"/>
  <c r="C35" i="19"/>
  <c r="H34" i="19"/>
  <c r="C34" i="19"/>
  <c r="R34" i="19" s="1"/>
  <c r="H33" i="19"/>
  <c r="C33" i="19"/>
  <c r="O33" i="19" s="1"/>
  <c r="H32" i="19"/>
  <c r="Q32" i="19" s="1"/>
  <c r="C32" i="19"/>
  <c r="M32" i="19" s="1"/>
  <c r="H31" i="19"/>
  <c r="C31" i="19"/>
  <c r="O31" i="19" s="1"/>
  <c r="H30" i="19"/>
  <c r="C30" i="19"/>
  <c r="O30" i="19" s="1"/>
  <c r="H29" i="19"/>
  <c r="C29" i="19"/>
  <c r="Q29" i="19" s="1"/>
  <c r="H28" i="19"/>
  <c r="C28" i="19"/>
  <c r="Q28" i="19" s="1"/>
  <c r="S13" i="19"/>
  <c r="T13" i="19" s="1"/>
  <c r="Q13" i="19"/>
  <c r="R13" i="19" s="1"/>
  <c r="U13" i="19" s="1"/>
  <c r="U12" i="19"/>
  <c r="T12" i="19"/>
  <c r="S12" i="19"/>
  <c r="S10" i="19"/>
  <c r="T10" i="19" s="1"/>
  <c r="Q10" i="19"/>
  <c r="R10" i="19" s="1"/>
  <c r="U10" i="19" s="1"/>
  <c r="U9" i="19"/>
  <c r="T9" i="19"/>
  <c r="S9" i="19"/>
  <c r="G35" i="19"/>
  <c r="S7" i="19"/>
  <c r="T7" i="19" s="1"/>
  <c r="Q7" i="19"/>
  <c r="R7" i="19" s="1"/>
  <c r="U7" i="19" s="1"/>
  <c r="G39" i="19"/>
  <c r="U6" i="19"/>
  <c r="T6" i="19"/>
  <c r="S6" i="19"/>
  <c r="H42" i="18"/>
  <c r="Q42" i="18" s="1"/>
  <c r="C42" i="18"/>
  <c r="M42" i="18" s="1"/>
  <c r="H41" i="18"/>
  <c r="C41" i="18"/>
  <c r="O41" i="18" s="1"/>
  <c r="H40" i="18"/>
  <c r="C40" i="18"/>
  <c r="O40" i="18" s="1"/>
  <c r="H39" i="18"/>
  <c r="C39" i="18"/>
  <c r="Q39" i="18" s="1"/>
  <c r="H38" i="18"/>
  <c r="C38" i="18"/>
  <c r="Q38" i="18" s="1"/>
  <c r="H37" i="18"/>
  <c r="Q37" i="18" s="1"/>
  <c r="C37" i="18"/>
  <c r="O37" i="18" s="1"/>
  <c r="H36" i="18"/>
  <c r="C36" i="18"/>
  <c r="P36" i="18" s="1"/>
  <c r="H35" i="18"/>
  <c r="C35" i="18"/>
  <c r="Q35" i="18" s="1"/>
  <c r="H34" i="18"/>
  <c r="C34" i="18"/>
  <c r="R34" i="18" s="1"/>
  <c r="H33" i="18"/>
  <c r="C33" i="18"/>
  <c r="O33" i="18" s="1"/>
  <c r="H32" i="18"/>
  <c r="Q32" i="18" s="1"/>
  <c r="C32" i="18"/>
  <c r="M32" i="18" s="1"/>
  <c r="H31" i="18"/>
  <c r="C31" i="18"/>
  <c r="O31" i="18" s="1"/>
  <c r="H30" i="18"/>
  <c r="C30" i="18"/>
  <c r="O30" i="18" s="1"/>
  <c r="H29" i="18"/>
  <c r="C29" i="18"/>
  <c r="M29" i="18" s="1"/>
  <c r="H28" i="18"/>
  <c r="C28" i="18"/>
  <c r="Q28" i="18" s="1"/>
  <c r="S13" i="18"/>
  <c r="T13" i="18" s="1"/>
  <c r="Q13" i="18"/>
  <c r="R13" i="18" s="1"/>
  <c r="U13" i="18" s="1"/>
  <c r="U12" i="18"/>
  <c r="T12" i="18"/>
  <c r="S12" i="18"/>
  <c r="S10" i="18"/>
  <c r="T10" i="18" s="1"/>
  <c r="Q10" i="18"/>
  <c r="R10" i="18" s="1"/>
  <c r="U10" i="18" s="1"/>
  <c r="U9" i="18"/>
  <c r="T9" i="18"/>
  <c r="S9" i="18"/>
  <c r="G35" i="18"/>
  <c r="S7" i="18"/>
  <c r="T7" i="18" s="1"/>
  <c r="Q7" i="18"/>
  <c r="R7" i="18" s="1"/>
  <c r="U7" i="18" s="1"/>
  <c r="U6" i="18"/>
  <c r="T6" i="18"/>
  <c r="S6" i="18"/>
  <c r="H42" i="17"/>
  <c r="Q42" i="17" s="1"/>
  <c r="C42" i="17"/>
  <c r="M42" i="17" s="1"/>
  <c r="H41" i="17"/>
  <c r="C41" i="17"/>
  <c r="O41" i="17" s="1"/>
  <c r="H40" i="17"/>
  <c r="C40" i="17"/>
  <c r="O40" i="17" s="1"/>
  <c r="H39" i="17"/>
  <c r="C39" i="17"/>
  <c r="M39" i="17" s="1"/>
  <c r="H38" i="17"/>
  <c r="C38" i="17"/>
  <c r="Q38" i="17" s="1"/>
  <c r="H37" i="17"/>
  <c r="Q37" i="17" s="1"/>
  <c r="C37" i="17"/>
  <c r="O37" i="17" s="1"/>
  <c r="H36" i="17"/>
  <c r="C36" i="17"/>
  <c r="P36" i="17" s="1"/>
  <c r="H35" i="17"/>
  <c r="C35" i="17"/>
  <c r="H34" i="17"/>
  <c r="C34" i="17"/>
  <c r="R34" i="17" s="1"/>
  <c r="H33" i="17"/>
  <c r="C33" i="17"/>
  <c r="O33" i="17" s="1"/>
  <c r="H32" i="17"/>
  <c r="Q32" i="17" s="1"/>
  <c r="C32" i="17"/>
  <c r="M32" i="17" s="1"/>
  <c r="H31" i="17"/>
  <c r="C31" i="17"/>
  <c r="O31" i="17" s="1"/>
  <c r="H30" i="17"/>
  <c r="C30" i="17"/>
  <c r="O30" i="17" s="1"/>
  <c r="H29" i="17"/>
  <c r="C29" i="17"/>
  <c r="Q29" i="17" s="1"/>
  <c r="H28" i="17"/>
  <c r="C28" i="17"/>
  <c r="Q28" i="17" s="1"/>
  <c r="S13" i="17"/>
  <c r="T13" i="17" s="1"/>
  <c r="Q13" i="17"/>
  <c r="R13" i="17" s="1"/>
  <c r="U13" i="17" s="1"/>
  <c r="G42" i="17"/>
  <c r="U12" i="17"/>
  <c r="T12" i="17"/>
  <c r="S12" i="17"/>
  <c r="G36" i="17"/>
  <c r="S10" i="17"/>
  <c r="T10" i="17" s="1"/>
  <c r="Q10" i="17"/>
  <c r="R10" i="17" s="1"/>
  <c r="U10" i="17" s="1"/>
  <c r="U9" i="17"/>
  <c r="T9" i="17"/>
  <c r="S9" i="17"/>
  <c r="G35" i="17"/>
  <c r="S7" i="17"/>
  <c r="T7" i="17" s="1"/>
  <c r="Q7" i="17"/>
  <c r="R7" i="17" s="1"/>
  <c r="U7" i="17" s="1"/>
  <c r="U6" i="17"/>
  <c r="T6" i="17"/>
  <c r="S6" i="17"/>
  <c r="G38" i="17"/>
  <c r="H42" i="16"/>
  <c r="Q42" i="16" s="1"/>
  <c r="C42" i="16"/>
  <c r="M42" i="16" s="1"/>
  <c r="H41" i="16"/>
  <c r="C41" i="16"/>
  <c r="O41" i="16" s="1"/>
  <c r="H40" i="16"/>
  <c r="C40" i="16"/>
  <c r="O40" i="16" s="1"/>
  <c r="H39" i="16"/>
  <c r="C39" i="16"/>
  <c r="Q39" i="16" s="1"/>
  <c r="H38" i="16"/>
  <c r="C38" i="16"/>
  <c r="Q38" i="16" s="1"/>
  <c r="H37" i="16"/>
  <c r="Q37" i="16" s="1"/>
  <c r="C37" i="16"/>
  <c r="O37" i="16" s="1"/>
  <c r="H36" i="16"/>
  <c r="C36" i="16"/>
  <c r="P36" i="16" s="1"/>
  <c r="H35" i="16"/>
  <c r="C35" i="16"/>
  <c r="H34" i="16"/>
  <c r="C34" i="16"/>
  <c r="R34" i="16" s="1"/>
  <c r="H33" i="16"/>
  <c r="C33" i="16"/>
  <c r="O33" i="16" s="1"/>
  <c r="H32" i="16"/>
  <c r="Q32" i="16" s="1"/>
  <c r="C32" i="16"/>
  <c r="M32" i="16" s="1"/>
  <c r="H31" i="16"/>
  <c r="C31" i="16"/>
  <c r="O31" i="16" s="1"/>
  <c r="H30" i="16"/>
  <c r="C30" i="16"/>
  <c r="O30" i="16" s="1"/>
  <c r="H29" i="16"/>
  <c r="C29" i="16"/>
  <c r="Q29" i="16" s="1"/>
  <c r="H28" i="16"/>
  <c r="C28" i="16"/>
  <c r="Q28" i="16" s="1"/>
  <c r="S13" i="16"/>
  <c r="T13" i="16" s="1"/>
  <c r="Q13" i="16"/>
  <c r="R13" i="16" s="1"/>
  <c r="U13" i="16" s="1"/>
  <c r="U12" i="16"/>
  <c r="T12" i="16"/>
  <c r="S12" i="16"/>
  <c r="S10" i="16"/>
  <c r="T10" i="16" s="1"/>
  <c r="Q10" i="16"/>
  <c r="R10" i="16" s="1"/>
  <c r="U10" i="16" s="1"/>
  <c r="U9" i="16"/>
  <c r="T9" i="16"/>
  <c r="S9" i="16"/>
  <c r="S7" i="16"/>
  <c r="T7" i="16" s="1"/>
  <c r="Q7" i="16"/>
  <c r="R7" i="16" s="1"/>
  <c r="U7" i="16" s="1"/>
  <c r="U6" i="16"/>
  <c r="T6" i="16"/>
  <c r="S6" i="16"/>
  <c r="H42" i="15"/>
  <c r="Q42" i="15" s="1"/>
  <c r="C42" i="15"/>
  <c r="M42" i="15" s="1"/>
  <c r="H41" i="15"/>
  <c r="C41" i="15"/>
  <c r="O41" i="15" s="1"/>
  <c r="P40" i="15"/>
  <c r="H40" i="15"/>
  <c r="C40" i="15"/>
  <c r="O40" i="15" s="1"/>
  <c r="H39" i="15"/>
  <c r="C39" i="15"/>
  <c r="Q39" i="15" s="1"/>
  <c r="H38" i="15"/>
  <c r="C38" i="15"/>
  <c r="Q38" i="15" s="1"/>
  <c r="H37" i="15"/>
  <c r="Q37" i="15" s="1"/>
  <c r="C37" i="15"/>
  <c r="O37" i="15" s="1"/>
  <c r="H36" i="15"/>
  <c r="C36" i="15"/>
  <c r="P36" i="15" s="1"/>
  <c r="H35" i="15"/>
  <c r="C35" i="15"/>
  <c r="H34" i="15"/>
  <c r="C34" i="15"/>
  <c r="R34" i="15" s="1"/>
  <c r="H33" i="15"/>
  <c r="C33" i="15"/>
  <c r="O33" i="15" s="1"/>
  <c r="H32" i="15"/>
  <c r="Q32" i="15" s="1"/>
  <c r="C32" i="15"/>
  <c r="M32" i="15" s="1"/>
  <c r="H31" i="15"/>
  <c r="C31" i="15"/>
  <c r="O31" i="15" s="1"/>
  <c r="H30" i="15"/>
  <c r="C30" i="15"/>
  <c r="O30" i="15" s="1"/>
  <c r="H29" i="15"/>
  <c r="C29" i="15"/>
  <c r="Q29" i="15" s="1"/>
  <c r="H28" i="15"/>
  <c r="C28" i="15"/>
  <c r="Q28" i="15" s="1"/>
  <c r="S13" i="15"/>
  <c r="T13" i="15" s="1"/>
  <c r="Q13" i="15"/>
  <c r="R13" i="15" s="1"/>
  <c r="U13" i="15" s="1"/>
  <c r="U12" i="15"/>
  <c r="T12" i="15"/>
  <c r="S12" i="15"/>
  <c r="G36" i="15"/>
  <c r="S10" i="15"/>
  <c r="T10" i="15" s="1"/>
  <c r="Q10" i="15"/>
  <c r="R10" i="15" s="1"/>
  <c r="U10" i="15" s="1"/>
  <c r="U9" i="15"/>
  <c r="T9" i="15"/>
  <c r="S9" i="15"/>
  <c r="S7" i="15"/>
  <c r="T7" i="15" s="1"/>
  <c r="Q7" i="15"/>
  <c r="R7" i="15" s="1"/>
  <c r="U7" i="15" s="1"/>
  <c r="U6" i="15"/>
  <c r="T6" i="15"/>
  <c r="S6" i="15"/>
  <c r="H42" i="14"/>
  <c r="Q42" i="14" s="1"/>
  <c r="C42" i="14"/>
  <c r="M42" i="14" s="1"/>
  <c r="H41" i="14"/>
  <c r="C41" i="14"/>
  <c r="O41" i="14" s="1"/>
  <c r="H40" i="14"/>
  <c r="C40" i="14"/>
  <c r="O40" i="14" s="1"/>
  <c r="H39" i="14"/>
  <c r="C39" i="14"/>
  <c r="R39" i="14" s="1"/>
  <c r="H38" i="14"/>
  <c r="C38" i="14"/>
  <c r="Q38" i="14" s="1"/>
  <c r="H37" i="14"/>
  <c r="Q37" i="14" s="1"/>
  <c r="C37" i="14"/>
  <c r="O37" i="14" s="1"/>
  <c r="H36" i="14"/>
  <c r="Q36" i="14" s="1"/>
  <c r="C36" i="14"/>
  <c r="M36" i="14" s="1"/>
  <c r="H35" i="14"/>
  <c r="C35" i="14"/>
  <c r="H34" i="14"/>
  <c r="C34" i="14"/>
  <c r="R34" i="14" s="1"/>
  <c r="H33" i="14"/>
  <c r="G33" i="14"/>
  <c r="C33" i="14"/>
  <c r="O33" i="14" s="1"/>
  <c r="H32" i="14"/>
  <c r="Q32" i="14" s="1"/>
  <c r="C32" i="14"/>
  <c r="M32" i="14" s="1"/>
  <c r="H31" i="14"/>
  <c r="C31" i="14"/>
  <c r="O31" i="14" s="1"/>
  <c r="H30" i="14"/>
  <c r="C30" i="14"/>
  <c r="O30" i="14" s="1"/>
  <c r="H29" i="14"/>
  <c r="C29" i="14"/>
  <c r="R29" i="14" s="1"/>
  <c r="H28" i="14"/>
  <c r="C28" i="14"/>
  <c r="Q28" i="14" s="1"/>
  <c r="S13" i="14"/>
  <c r="T13" i="14" s="1"/>
  <c r="Q13" i="14"/>
  <c r="R13" i="14" s="1"/>
  <c r="U13" i="14" s="1"/>
  <c r="U12" i="14"/>
  <c r="T12" i="14"/>
  <c r="S12" i="14"/>
  <c r="G36" i="14"/>
  <c r="S10" i="14"/>
  <c r="T10" i="14" s="1"/>
  <c r="Q10" i="14"/>
  <c r="R10" i="14" s="1"/>
  <c r="U10" i="14" s="1"/>
  <c r="U9" i="14"/>
  <c r="T9" i="14"/>
  <c r="S9" i="14"/>
  <c r="S7" i="14"/>
  <c r="T7" i="14" s="1"/>
  <c r="Q7" i="14"/>
  <c r="R7" i="14" s="1"/>
  <c r="U7" i="14" s="1"/>
  <c r="U6" i="14"/>
  <c r="T6" i="14"/>
  <c r="S6" i="14"/>
  <c r="G38" i="14"/>
  <c r="G35" i="26" l="1"/>
  <c r="G30" i="14"/>
  <c r="I30" i="14" s="1"/>
  <c r="P37" i="15"/>
  <c r="M37" i="27"/>
  <c r="O31" i="29"/>
  <c r="G28" i="25"/>
  <c r="I28" i="25" s="1"/>
  <c r="N28" i="25" s="1"/>
  <c r="G38" i="16"/>
  <c r="I38" i="16" s="1"/>
  <c r="N38" i="16" s="1"/>
  <c r="M39" i="18"/>
  <c r="M37" i="21"/>
  <c r="P37" i="21"/>
  <c r="Q36" i="26"/>
  <c r="Q35" i="14"/>
  <c r="O39" i="18"/>
  <c r="O29" i="18"/>
  <c r="P30" i="19"/>
  <c r="Q36" i="20"/>
  <c r="O31" i="21"/>
  <c r="K33" i="14"/>
  <c r="J33" i="14" s="1"/>
  <c r="P36" i="14"/>
  <c r="P37" i="16"/>
  <c r="Q29" i="18"/>
  <c r="G30" i="29"/>
  <c r="I30" i="29" s="1"/>
  <c r="R30" i="29" s="1"/>
  <c r="O40" i="29"/>
  <c r="Q39" i="17"/>
  <c r="P40" i="20"/>
  <c r="M33" i="24"/>
  <c r="M37" i="24"/>
  <c r="M39" i="27"/>
  <c r="K30" i="26"/>
  <c r="J30" i="26" s="1"/>
  <c r="M37" i="28"/>
  <c r="P40" i="21"/>
  <c r="Q33" i="26"/>
  <c r="Q40" i="27"/>
  <c r="M29" i="19"/>
  <c r="M36" i="22"/>
  <c r="P40" i="18"/>
  <c r="O36" i="20"/>
  <c r="O39" i="20"/>
  <c r="P36" i="22"/>
  <c r="M40" i="24"/>
  <c r="K35" i="25"/>
  <c r="J35" i="25" s="1"/>
  <c r="O35" i="25"/>
  <c r="M41" i="25"/>
  <c r="Q40" i="26"/>
  <c r="M29" i="27"/>
  <c r="P31" i="27"/>
  <c r="Q36" i="28"/>
  <c r="Q36" i="15"/>
  <c r="Q36" i="18"/>
  <c r="M29" i="20"/>
  <c r="M39" i="20"/>
  <c r="Q30" i="21"/>
  <c r="G42" i="23"/>
  <c r="M40" i="26"/>
  <c r="P33" i="28"/>
  <c r="M36" i="28"/>
  <c r="M33" i="29"/>
  <c r="Q40" i="24"/>
  <c r="G42" i="15"/>
  <c r="K42" i="15" s="1"/>
  <c r="J42" i="15" s="1"/>
  <c r="M29" i="15"/>
  <c r="M36" i="18"/>
  <c r="Q39" i="20"/>
  <c r="P30" i="21"/>
  <c r="P30" i="22"/>
  <c r="O34" i="22"/>
  <c r="M29" i="23"/>
  <c r="Q33" i="25"/>
  <c r="Q36" i="25"/>
  <c r="P40" i="26"/>
  <c r="Q30" i="27"/>
  <c r="P30" i="28"/>
  <c r="Q33" i="28"/>
  <c r="M41" i="28"/>
  <c r="Q33" i="29"/>
  <c r="M33" i="26"/>
  <c r="Q39" i="14"/>
  <c r="M40" i="28"/>
  <c r="P33" i="16"/>
  <c r="M39" i="16"/>
  <c r="O36" i="18"/>
  <c r="P33" i="23"/>
  <c r="M41" i="24"/>
  <c r="M30" i="27"/>
  <c r="K37" i="15"/>
  <c r="J37" i="15" s="1"/>
  <c r="K37" i="23"/>
  <c r="J37" i="23" s="1"/>
  <c r="Q35" i="26"/>
  <c r="Q35" i="27"/>
  <c r="Q35" i="28"/>
  <c r="K35" i="24"/>
  <c r="J35" i="24" s="1"/>
  <c r="Q35" i="19"/>
  <c r="K39" i="25"/>
  <c r="J39" i="25" s="1"/>
  <c r="G34" i="24"/>
  <c r="I34" i="24" s="1"/>
  <c r="P34" i="24" s="1"/>
  <c r="G28" i="28"/>
  <c r="K28" i="28" s="1"/>
  <c r="J28" i="28" s="1"/>
  <c r="Q39" i="24"/>
  <c r="G33" i="25"/>
  <c r="I33" i="25" s="1"/>
  <c r="N33" i="25" s="1"/>
  <c r="P37" i="28"/>
  <c r="P30" i="16"/>
  <c r="O39" i="14"/>
  <c r="O34" i="18"/>
  <c r="P33" i="19"/>
  <c r="G34" i="21"/>
  <c r="I34" i="21" s="1"/>
  <c r="P34" i="21" s="1"/>
  <c r="M40" i="21"/>
  <c r="Q31" i="25"/>
  <c r="M33" i="25"/>
  <c r="P30" i="26"/>
  <c r="G33" i="26"/>
  <c r="K33" i="26" s="1"/>
  <c r="J33" i="26" s="1"/>
  <c r="M33" i="27"/>
  <c r="M33" i="28"/>
  <c r="Q39" i="28"/>
  <c r="O41" i="28"/>
  <c r="P33" i="15"/>
  <c r="O34" i="14"/>
  <c r="M39" i="14"/>
  <c r="M29" i="17"/>
  <c r="Q34" i="18"/>
  <c r="P37" i="19"/>
  <c r="M36" i="20"/>
  <c r="G40" i="20"/>
  <c r="I40" i="20" s="1"/>
  <c r="R40" i="20" s="1"/>
  <c r="O34" i="21"/>
  <c r="P40" i="22"/>
  <c r="O33" i="23"/>
  <c r="G40" i="24"/>
  <c r="I40" i="24" s="1"/>
  <c r="G30" i="27"/>
  <c r="K30" i="27" s="1"/>
  <c r="J30" i="27" s="1"/>
  <c r="Q41" i="21"/>
  <c r="P30" i="14"/>
  <c r="O34" i="16"/>
  <c r="G40" i="16"/>
  <c r="I40" i="16" s="1"/>
  <c r="R40" i="16" s="1"/>
  <c r="P30" i="18"/>
  <c r="G33" i="18"/>
  <c r="P40" i="19"/>
  <c r="G30" i="20"/>
  <c r="K30" i="20" s="1"/>
  <c r="J30" i="20" s="1"/>
  <c r="G37" i="20"/>
  <c r="I37" i="20" s="1"/>
  <c r="R37" i="20" s="1"/>
  <c r="K35" i="21"/>
  <c r="J35" i="21" s="1"/>
  <c r="N35" i="21"/>
  <c r="O41" i="21"/>
  <c r="O39" i="22"/>
  <c r="Q30" i="25"/>
  <c r="M29" i="26"/>
  <c r="P40" i="28"/>
  <c r="Q30" i="29"/>
  <c r="G34" i="29"/>
  <c r="I34" i="29" s="1"/>
  <c r="P34" i="29" s="1"/>
  <c r="P37" i="29"/>
  <c r="M30" i="25"/>
  <c r="M37" i="25"/>
  <c r="O34" i="26"/>
  <c r="M39" i="26"/>
  <c r="Q30" i="28"/>
  <c r="M34" i="28"/>
  <c r="K38" i="29"/>
  <c r="J38" i="29" s="1"/>
  <c r="M30" i="29"/>
  <c r="M39" i="29"/>
  <c r="G33" i="17"/>
  <c r="I33" i="17" s="1"/>
  <c r="N33" i="17" s="1"/>
  <c r="O36" i="17"/>
  <c r="G30" i="19"/>
  <c r="I30" i="19" s="1"/>
  <c r="R30" i="19" s="1"/>
  <c r="M39" i="22"/>
  <c r="O34" i="23"/>
  <c r="O37" i="23"/>
  <c r="M39" i="23"/>
  <c r="M34" i="24"/>
  <c r="O36" i="14"/>
  <c r="P30" i="15"/>
  <c r="Q36" i="17"/>
  <c r="P33" i="18"/>
  <c r="P37" i="20"/>
  <c r="Q39" i="22"/>
  <c r="Q35" i="23"/>
  <c r="O34" i="24"/>
  <c r="P30" i="25"/>
  <c r="Q34" i="28"/>
  <c r="P30" i="29"/>
  <c r="K38" i="25"/>
  <c r="J38" i="25" s="1"/>
  <c r="I38" i="25"/>
  <c r="N38" i="25" s="1"/>
  <c r="I37" i="24"/>
  <c r="R37" i="24" s="1"/>
  <c r="K37" i="24"/>
  <c r="J37" i="24" s="1"/>
  <c r="K38" i="24"/>
  <c r="J38" i="24" s="1"/>
  <c r="I38" i="24"/>
  <c r="N38" i="24" s="1"/>
  <c r="O34" i="17"/>
  <c r="O39" i="17"/>
  <c r="G37" i="19"/>
  <c r="K37" i="19" s="1"/>
  <c r="J37" i="19" s="1"/>
  <c r="G33" i="24"/>
  <c r="I33" i="24" s="1"/>
  <c r="N33" i="24" s="1"/>
  <c r="Q41" i="25"/>
  <c r="K39" i="21"/>
  <c r="J39" i="21" s="1"/>
  <c r="G28" i="21"/>
  <c r="K28" i="21" s="1"/>
  <c r="J28" i="21" s="1"/>
  <c r="M30" i="21"/>
  <c r="G33" i="21"/>
  <c r="I33" i="21" s="1"/>
  <c r="N33" i="21" s="1"/>
  <c r="M34" i="21"/>
  <c r="M41" i="21"/>
  <c r="O29" i="22"/>
  <c r="G33" i="22"/>
  <c r="I33" i="22" s="1"/>
  <c r="N33" i="22" s="1"/>
  <c r="R29" i="24"/>
  <c r="P33" i="24"/>
  <c r="Q34" i="24"/>
  <c r="P40" i="24"/>
  <c r="K36" i="25"/>
  <c r="J36" i="25" s="1"/>
  <c r="M31" i="25"/>
  <c r="O41" i="25"/>
  <c r="P33" i="26"/>
  <c r="G37" i="26"/>
  <c r="I37" i="26" s="1"/>
  <c r="R37" i="26" s="1"/>
  <c r="G34" i="27"/>
  <c r="I34" i="27" s="1"/>
  <c r="P34" i="27" s="1"/>
  <c r="P37" i="27"/>
  <c r="O34" i="28"/>
  <c r="M37" i="29"/>
  <c r="Q40" i="29"/>
  <c r="M36" i="15"/>
  <c r="M39" i="15"/>
  <c r="M29" i="16"/>
  <c r="Q31" i="18"/>
  <c r="O34" i="20"/>
  <c r="M33" i="21"/>
  <c r="Q34" i="21"/>
  <c r="Q36" i="21"/>
  <c r="M29" i="22"/>
  <c r="G37" i="22"/>
  <c r="I37" i="22" s="1"/>
  <c r="R37" i="22" s="1"/>
  <c r="G40" i="23"/>
  <c r="I40" i="23" s="1"/>
  <c r="R40" i="23" s="1"/>
  <c r="G28" i="24"/>
  <c r="Q31" i="24"/>
  <c r="Q33" i="24"/>
  <c r="G34" i="25"/>
  <c r="Q40" i="25"/>
  <c r="M36" i="27"/>
  <c r="O41" i="27"/>
  <c r="Q31" i="28"/>
  <c r="Q36" i="29"/>
  <c r="G37" i="16"/>
  <c r="I37" i="16" s="1"/>
  <c r="R37" i="16" s="1"/>
  <c r="Q34" i="25"/>
  <c r="M29" i="14"/>
  <c r="P33" i="14"/>
  <c r="G37" i="14"/>
  <c r="K37" i="14" s="1"/>
  <c r="J37" i="14" s="1"/>
  <c r="O34" i="15"/>
  <c r="Q36" i="16"/>
  <c r="P40" i="16"/>
  <c r="P30" i="17"/>
  <c r="G37" i="17"/>
  <c r="I37" i="17" s="1"/>
  <c r="R37" i="17" s="1"/>
  <c r="M31" i="18"/>
  <c r="G37" i="18"/>
  <c r="I37" i="18" s="1"/>
  <c r="R37" i="18" s="1"/>
  <c r="M36" i="19"/>
  <c r="P30" i="20"/>
  <c r="Q35" i="20"/>
  <c r="P36" i="20"/>
  <c r="P33" i="21"/>
  <c r="Q40" i="21"/>
  <c r="Q29" i="22"/>
  <c r="P33" i="22"/>
  <c r="G40" i="22"/>
  <c r="K40" i="22" s="1"/>
  <c r="J40" i="22" s="1"/>
  <c r="M36" i="23"/>
  <c r="P37" i="23"/>
  <c r="O39" i="23"/>
  <c r="M31" i="24"/>
  <c r="M40" i="25"/>
  <c r="O31" i="26"/>
  <c r="M37" i="26"/>
  <c r="G33" i="27"/>
  <c r="I33" i="27" s="1"/>
  <c r="N33" i="27" s="1"/>
  <c r="O34" i="27"/>
  <c r="Q36" i="27"/>
  <c r="G40" i="27"/>
  <c r="I40" i="27" s="1"/>
  <c r="R40" i="27" s="1"/>
  <c r="G30" i="28"/>
  <c r="M31" i="28"/>
  <c r="G38" i="28"/>
  <c r="Q41" i="28"/>
  <c r="G33" i="29"/>
  <c r="M36" i="29"/>
  <c r="G40" i="29"/>
  <c r="O29" i="14"/>
  <c r="Q29" i="14"/>
  <c r="G40" i="14"/>
  <c r="I40" i="14" s="1"/>
  <c r="R40" i="14" s="1"/>
  <c r="M36" i="16"/>
  <c r="O39" i="16"/>
  <c r="P33" i="17"/>
  <c r="G40" i="17"/>
  <c r="K40" i="17" s="1"/>
  <c r="J40" i="17" s="1"/>
  <c r="O34" i="19"/>
  <c r="Q36" i="19"/>
  <c r="M39" i="19"/>
  <c r="O29" i="20"/>
  <c r="G33" i="20"/>
  <c r="K33" i="20" s="1"/>
  <c r="J33" i="20" s="1"/>
  <c r="Q33" i="21"/>
  <c r="Q36" i="22"/>
  <c r="P37" i="22"/>
  <c r="G30" i="23"/>
  <c r="K30" i="23" s="1"/>
  <c r="J30" i="23" s="1"/>
  <c r="P36" i="23"/>
  <c r="P40" i="23"/>
  <c r="G30" i="24"/>
  <c r="I30" i="24" s="1"/>
  <c r="R30" i="24" s="1"/>
  <c r="O31" i="24"/>
  <c r="Q41" i="24"/>
  <c r="K28" i="25"/>
  <c r="J28" i="25" s="1"/>
  <c r="P40" i="25"/>
  <c r="P37" i="26"/>
  <c r="O31" i="28"/>
  <c r="O34" i="29"/>
  <c r="O36" i="16"/>
  <c r="G30" i="18"/>
  <c r="I30" i="18" s="1"/>
  <c r="R30" i="18" s="1"/>
  <c r="P37" i="18"/>
  <c r="G40" i="18"/>
  <c r="K40" i="18" s="1"/>
  <c r="J40" i="18" s="1"/>
  <c r="G33" i="23"/>
  <c r="I33" i="23" s="1"/>
  <c r="Q36" i="23"/>
  <c r="M34" i="25"/>
  <c r="Q30" i="26"/>
  <c r="G34" i="26"/>
  <c r="I34" i="26" s="1"/>
  <c r="P34" i="26" s="1"/>
  <c r="G40" i="26"/>
  <c r="I40" i="26" s="1"/>
  <c r="R40" i="26" s="1"/>
  <c r="O41" i="26"/>
  <c r="P33" i="27"/>
  <c r="M40" i="27"/>
  <c r="G37" i="28"/>
  <c r="I37" i="28" s="1"/>
  <c r="R37" i="28" s="1"/>
  <c r="G40" i="28"/>
  <c r="I40" i="28" s="1"/>
  <c r="R40" i="28" s="1"/>
  <c r="K35" i="29"/>
  <c r="J35" i="29" s="1"/>
  <c r="O41" i="29"/>
  <c r="P37" i="14"/>
  <c r="G30" i="15"/>
  <c r="I30" i="15" s="1"/>
  <c r="R30" i="15" s="1"/>
  <c r="P37" i="17"/>
  <c r="P40" i="14"/>
  <c r="G33" i="15"/>
  <c r="I33" i="15" s="1"/>
  <c r="N33" i="15" s="1"/>
  <c r="G40" i="15"/>
  <c r="K40" i="15" s="1"/>
  <c r="J40" i="15" s="1"/>
  <c r="G30" i="16"/>
  <c r="I30" i="16" s="1"/>
  <c r="R30" i="16" s="1"/>
  <c r="Q35" i="16"/>
  <c r="M36" i="17"/>
  <c r="P40" i="17"/>
  <c r="M34" i="18"/>
  <c r="G33" i="19"/>
  <c r="K33" i="19" s="1"/>
  <c r="J33" i="19" s="1"/>
  <c r="Q29" i="20"/>
  <c r="P33" i="20"/>
  <c r="K36" i="21"/>
  <c r="J36" i="21" s="1"/>
  <c r="G30" i="22"/>
  <c r="K30" i="22" s="1"/>
  <c r="J30" i="22" s="1"/>
  <c r="P30" i="23"/>
  <c r="M30" i="24"/>
  <c r="Q36" i="24"/>
  <c r="P33" i="25"/>
  <c r="O34" i="25"/>
  <c r="P37" i="25"/>
  <c r="M30" i="26"/>
  <c r="M36" i="26"/>
  <c r="Q33" i="27"/>
  <c r="G37" i="27"/>
  <c r="I37" i="27" s="1"/>
  <c r="R37" i="27" s="1"/>
  <c r="P40" i="27"/>
  <c r="M30" i="28"/>
  <c r="G34" i="28"/>
  <c r="I34" i="28" s="1"/>
  <c r="P34" i="28" s="1"/>
  <c r="Q40" i="28"/>
  <c r="P33" i="29"/>
  <c r="G37" i="29"/>
  <c r="M40" i="29"/>
  <c r="Q35" i="22"/>
  <c r="K38" i="21"/>
  <c r="J38" i="21" s="1"/>
  <c r="I38" i="21"/>
  <c r="N38" i="21" s="1"/>
  <c r="K34" i="21"/>
  <c r="J34" i="21" s="1"/>
  <c r="Q35" i="17"/>
  <c r="K40" i="19"/>
  <c r="J40" i="19" s="1"/>
  <c r="I35" i="29"/>
  <c r="R35" i="29" s="1"/>
  <c r="K36" i="29"/>
  <c r="J36" i="29" s="1"/>
  <c r="I36" i="29"/>
  <c r="R36" i="29" s="1"/>
  <c r="I42" i="29"/>
  <c r="R42" i="29" s="1"/>
  <c r="K42" i="29"/>
  <c r="J42" i="29" s="1"/>
  <c r="Q28" i="29"/>
  <c r="M28" i="29"/>
  <c r="O28" i="29"/>
  <c r="P28" i="29"/>
  <c r="M32" i="29"/>
  <c r="O32" i="29"/>
  <c r="P32" i="29"/>
  <c r="N32" i="29"/>
  <c r="Q35" i="29"/>
  <c r="M35" i="29"/>
  <c r="O35" i="29"/>
  <c r="P35" i="29"/>
  <c r="N35" i="29"/>
  <c r="I38" i="29"/>
  <c r="N38" i="29" s="1"/>
  <c r="R28" i="29"/>
  <c r="Q38" i="29"/>
  <c r="M38" i="29"/>
  <c r="O38" i="29"/>
  <c r="P38" i="29"/>
  <c r="K39" i="29"/>
  <c r="J39" i="29" s="1"/>
  <c r="I39" i="29"/>
  <c r="P39" i="29" s="1"/>
  <c r="R38" i="29"/>
  <c r="G41" i="29"/>
  <c r="O42" i="29"/>
  <c r="G28" i="29"/>
  <c r="O29" i="29"/>
  <c r="N30" i="29"/>
  <c r="M31" i="29"/>
  <c r="Q31" i="29"/>
  <c r="G32" i="29"/>
  <c r="R33" i="29"/>
  <c r="M34" i="29"/>
  <c r="Q34" i="29"/>
  <c r="O36" i="29"/>
  <c r="N37" i="29"/>
  <c r="O39" i="29"/>
  <c r="N40" i="29"/>
  <c r="M41" i="29"/>
  <c r="Q41" i="29"/>
  <c r="P42" i="29"/>
  <c r="N42" i="29"/>
  <c r="N29" i="29"/>
  <c r="R29" i="29"/>
  <c r="G31" i="29"/>
  <c r="N36" i="29"/>
  <c r="N39" i="29"/>
  <c r="R39" i="29"/>
  <c r="G29" i="29"/>
  <c r="N31" i="29"/>
  <c r="N34" i="29"/>
  <c r="N41" i="29"/>
  <c r="K39" i="28"/>
  <c r="J39" i="28" s="1"/>
  <c r="I39" i="28"/>
  <c r="P39" i="28" s="1"/>
  <c r="K35" i="28"/>
  <c r="J35" i="28" s="1"/>
  <c r="I35" i="28"/>
  <c r="R35" i="28" s="1"/>
  <c r="M32" i="28"/>
  <c r="P32" i="28"/>
  <c r="O32" i="28"/>
  <c r="N32" i="28"/>
  <c r="K36" i="28"/>
  <c r="J36" i="28" s="1"/>
  <c r="I36" i="28"/>
  <c r="R36" i="28" s="1"/>
  <c r="K42" i="28"/>
  <c r="J42" i="28" s="1"/>
  <c r="I42" i="28"/>
  <c r="R42" i="28" s="1"/>
  <c r="Q28" i="28"/>
  <c r="M28" i="28"/>
  <c r="P28" i="28"/>
  <c r="O28" i="28"/>
  <c r="I33" i="28"/>
  <c r="N33" i="28" s="1"/>
  <c r="K33" i="28"/>
  <c r="J33" i="28" s="1"/>
  <c r="R38" i="28"/>
  <c r="N42" i="28"/>
  <c r="R29" i="28"/>
  <c r="G31" i="28"/>
  <c r="O35" i="28"/>
  <c r="N36" i="28"/>
  <c r="O38" i="28"/>
  <c r="N39" i="28"/>
  <c r="R39" i="28"/>
  <c r="G41" i="28"/>
  <c r="O42" i="28"/>
  <c r="N30" i="28"/>
  <c r="G32" i="28"/>
  <c r="R33" i="28"/>
  <c r="O36" i="28"/>
  <c r="N35" i="28"/>
  <c r="O29" i="28"/>
  <c r="P35" i="28"/>
  <c r="N37" i="28"/>
  <c r="P38" i="28"/>
  <c r="O39" i="28"/>
  <c r="N40" i="28"/>
  <c r="P42" i="28"/>
  <c r="G29" i="28"/>
  <c r="N31" i="28"/>
  <c r="N34" i="28"/>
  <c r="M35" i="28"/>
  <c r="M38" i="28"/>
  <c r="N41" i="28"/>
  <c r="K38" i="27"/>
  <c r="J38" i="27" s="1"/>
  <c r="I38" i="27"/>
  <c r="N38" i="27" s="1"/>
  <c r="K39" i="27"/>
  <c r="J39" i="27" s="1"/>
  <c r="I39" i="27"/>
  <c r="P39" i="27" s="1"/>
  <c r="I35" i="27"/>
  <c r="R35" i="27" s="1"/>
  <c r="K35" i="27"/>
  <c r="J35" i="27" s="1"/>
  <c r="K36" i="27"/>
  <c r="J36" i="27" s="1"/>
  <c r="I36" i="27"/>
  <c r="R36" i="27" s="1"/>
  <c r="I42" i="27"/>
  <c r="R42" i="27" s="1"/>
  <c r="K42" i="27"/>
  <c r="J42" i="27" s="1"/>
  <c r="N35" i="27"/>
  <c r="N42" i="27"/>
  <c r="O28" i="27"/>
  <c r="N29" i="27"/>
  <c r="R29" i="27"/>
  <c r="G31" i="27"/>
  <c r="O32" i="27"/>
  <c r="O35" i="27"/>
  <c r="N36" i="27"/>
  <c r="O38" i="27"/>
  <c r="N39" i="27"/>
  <c r="R39" i="27"/>
  <c r="G41" i="27"/>
  <c r="O42" i="27"/>
  <c r="R28" i="27"/>
  <c r="G28" i="27"/>
  <c r="P28" i="27"/>
  <c r="O29" i="27"/>
  <c r="N30" i="27"/>
  <c r="M31" i="27"/>
  <c r="Q31" i="27"/>
  <c r="G32" i="27"/>
  <c r="P32" i="27"/>
  <c r="R33" i="27"/>
  <c r="M34" i="27"/>
  <c r="Q34" i="27"/>
  <c r="P35" i="27"/>
  <c r="O36" i="27"/>
  <c r="N37" i="27"/>
  <c r="P38" i="27"/>
  <c r="O39" i="27"/>
  <c r="N40" i="27"/>
  <c r="M41" i="27"/>
  <c r="Q41" i="27"/>
  <c r="P42" i="27"/>
  <c r="N32" i="27"/>
  <c r="R38" i="27"/>
  <c r="M28" i="27"/>
  <c r="G29" i="27"/>
  <c r="N31" i="27"/>
  <c r="N34" i="27"/>
  <c r="M35" i="27"/>
  <c r="M38" i="27"/>
  <c r="N41" i="27"/>
  <c r="I38" i="26"/>
  <c r="N38" i="26" s="1"/>
  <c r="K38" i="26"/>
  <c r="J38" i="26" s="1"/>
  <c r="K39" i="26"/>
  <c r="J39" i="26" s="1"/>
  <c r="I39" i="26"/>
  <c r="P39" i="26" s="1"/>
  <c r="K35" i="26"/>
  <c r="J35" i="26" s="1"/>
  <c r="I35" i="26"/>
  <c r="R35" i="26" s="1"/>
  <c r="K36" i="26"/>
  <c r="J36" i="26" s="1"/>
  <c r="I36" i="26"/>
  <c r="R36" i="26" s="1"/>
  <c r="I42" i="26"/>
  <c r="R42" i="26" s="1"/>
  <c r="K42" i="26"/>
  <c r="J42" i="26" s="1"/>
  <c r="N42" i="26"/>
  <c r="O28" i="26"/>
  <c r="R29" i="26"/>
  <c r="G31" i="26"/>
  <c r="O35" i="26"/>
  <c r="R39" i="26"/>
  <c r="O42" i="26"/>
  <c r="G28" i="26"/>
  <c r="P28" i="26"/>
  <c r="O29" i="26"/>
  <c r="I30" i="26"/>
  <c r="R30" i="26" s="1"/>
  <c r="N30" i="26"/>
  <c r="M31" i="26"/>
  <c r="Q31" i="26"/>
  <c r="G32" i="26"/>
  <c r="P32" i="26"/>
  <c r="I33" i="26"/>
  <c r="N33" i="26" s="1"/>
  <c r="R33" i="26"/>
  <c r="M34" i="26"/>
  <c r="Q34" i="26"/>
  <c r="P35" i="26"/>
  <c r="O36" i="26"/>
  <c r="N37" i="26"/>
  <c r="P38" i="26"/>
  <c r="O39" i="26"/>
  <c r="N40" i="26"/>
  <c r="M41" i="26"/>
  <c r="Q41" i="26"/>
  <c r="P42" i="26"/>
  <c r="R28" i="26"/>
  <c r="N32" i="26"/>
  <c r="N35" i="26"/>
  <c r="R38" i="26"/>
  <c r="N29" i="26"/>
  <c r="O32" i="26"/>
  <c r="N36" i="26"/>
  <c r="O38" i="26"/>
  <c r="N39" i="26"/>
  <c r="G41" i="26"/>
  <c r="M28" i="26"/>
  <c r="G29" i="26"/>
  <c r="N31" i="26"/>
  <c r="N34" i="26"/>
  <c r="M35" i="26"/>
  <c r="M38" i="26"/>
  <c r="N41" i="26"/>
  <c r="G42" i="25"/>
  <c r="G32" i="25"/>
  <c r="O29" i="25"/>
  <c r="M29" i="25"/>
  <c r="N29" i="25"/>
  <c r="M32" i="25"/>
  <c r="P32" i="25"/>
  <c r="G37" i="25"/>
  <c r="O39" i="25"/>
  <c r="M39" i="25"/>
  <c r="R38" i="25"/>
  <c r="Q28" i="25"/>
  <c r="M28" i="25"/>
  <c r="P28" i="25"/>
  <c r="O28" i="25"/>
  <c r="Q29" i="25"/>
  <c r="G30" i="25"/>
  <c r="G31" i="25"/>
  <c r="N32" i="25"/>
  <c r="I35" i="25"/>
  <c r="R35" i="25" s="1"/>
  <c r="I36" i="25"/>
  <c r="R36" i="25" s="1"/>
  <c r="N39" i="25"/>
  <c r="M42" i="25"/>
  <c r="P42" i="25"/>
  <c r="Q38" i="25"/>
  <c r="M38" i="25"/>
  <c r="P38" i="25"/>
  <c r="I39" i="25"/>
  <c r="P39" i="25" s="1"/>
  <c r="R28" i="25"/>
  <c r="R29" i="25"/>
  <c r="O32" i="25"/>
  <c r="Q35" i="25"/>
  <c r="M35" i="25"/>
  <c r="P35" i="25"/>
  <c r="P36" i="25"/>
  <c r="O36" i="25"/>
  <c r="M36" i="25"/>
  <c r="O38" i="25"/>
  <c r="Q39" i="25"/>
  <c r="G40" i="25"/>
  <c r="G41" i="25"/>
  <c r="N42" i="25"/>
  <c r="N30" i="25"/>
  <c r="R33" i="25"/>
  <c r="N37" i="25"/>
  <c r="N40" i="25"/>
  <c r="G29" i="25"/>
  <c r="N31" i="25"/>
  <c r="N34" i="25"/>
  <c r="N41" i="25"/>
  <c r="Q28" i="24"/>
  <c r="M28" i="24"/>
  <c r="P28" i="24"/>
  <c r="Q30" i="24"/>
  <c r="M36" i="24"/>
  <c r="M29" i="24"/>
  <c r="N35" i="24"/>
  <c r="Q38" i="24"/>
  <c r="M38" i="24"/>
  <c r="P38" i="24"/>
  <c r="O38" i="24"/>
  <c r="M32" i="24"/>
  <c r="P32" i="24"/>
  <c r="K39" i="24"/>
  <c r="J39" i="24" s="1"/>
  <c r="I39" i="24"/>
  <c r="P39" i="24" s="1"/>
  <c r="R28" i="24"/>
  <c r="Q35" i="24"/>
  <c r="M35" i="24"/>
  <c r="P35" i="24"/>
  <c r="P36" i="24"/>
  <c r="O36" i="24"/>
  <c r="O29" i="24"/>
  <c r="N36" i="24"/>
  <c r="G36" i="24"/>
  <c r="G41" i="24"/>
  <c r="G42" i="24"/>
  <c r="G32" i="24"/>
  <c r="O28" i="24"/>
  <c r="Q29" i="24"/>
  <c r="G31" i="24"/>
  <c r="N32" i="24"/>
  <c r="I35" i="24"/>
  <c r="R35" i="24" s="1"/>
  <c r="R38" i="24"/>
  <c r="M42" i="24"/>
  <c r="P42" i="24"/>
  <c r="O42" i="24"/>
  <c r="N42" i="24"/>
  <c r="R39" i="24"/>
  <c r="N30" i="24"/>
  <c r="N39" i="24"/>
  <c r="R33" i="24"/>
  <c r="N37" i="24"/>
  <c r="O39" i="24"/>
  <c r="N40" i="24"/>
  <c r="R40" i="24"/>
  <c r="G29" i="24"/>
  <c r="N31" i="24"/>
  <c r="N34" i="24"/>
  <c r="N41" i="24"/>
  <c r="K39" i="23"/>
  <c r="J39" i="23" s="1"/>
  <c r="I39" i="23"/>
  <c r="P39" i="23" s="1"/>
  <c r="K36" i="23"/>
  <c r="J36" i="23" s="1"/>
  <c r="I36" i="23"/>
  <c r="R36" i="23" s="1"/>
  <c r="I42" i="23"/>
  <c r="R42" i="23" s="1"/>
  <c r="K42" i="23"/>
  <c r="J42" i="23" s="1"/>
  <c r="K38" i="23"/>
  <c r="J38" i="23" s="1"/>
  <c r="I38" i="23"/>
  <c r="N38" i="23" s="1"/>
  <c r="I35" i="23"/>
  <c r="R35" i="23" s="1"/>
  <c r="K35" i="23"/>
  <c r="J35" i="23" s="1"/>
  <c r="R38" i="23"/>
  <c r="N42" i="23"/>
  <c r="O28" i="23"/>
  <c r="N29" i="23"/>
  <c r="R29" i="23"/>
  <c r="M30" i="23"/>
  <c r="Q30" i="23"/>
  <c r="G31" i="23"/>
  <c r="P31" i="23"/>
  <c r="O32" i="23"/>
  <c r="M33" i="23"/>
  <c r="Q33" i="23"/>
  <c r="G34" i="23"/>
  <c r="O35" i="23"/>
  <c r="N36" i="23"/>
  <c r="M37" i="23"/>
  <c r="O38" i="23"/>
  <c r="N39" i="23"/>
  <c r="R39" i="23"/>
  <c r="M40" i="23"/>
  <c r="Q40" i="23"/>
  <c r="G41" i="23"/>
  <c r="P41" i="23"/>
  <c r="O42" i="23"/>
  <c r="R28" i="23"/>
  <c r="N32" i="23"/>
  <c r="N35" i="23"/>
  <c r="G28" i="23"/>
  <c r="P28" i="23"/>
  <c r="O29" i="23"/>
  <c r="N30" i="23"/>
  <c r="M31" i="23"/>
  <c r="Q31" i="23"/>
  <c r="G32" i="23"/>
  <c r="P32" i="23"/>
  <c r="N33" i="23"/>
  <c r="M34" i="23"/>
  <c r="Q34" i="23"/>
  <c r="P35" i="23"/>
  <c r="I37" i="23"/>
  <c r="R37" i="23" s="1"/>
  <c r="P38" i="23"/>
  <c r="N40" i="23"/>
  <c r="M41" i="23"/>
  <c r="Q41" i="23"/>
  <c r="P42" i="23"/>
  <c r="M28" i="23"/>
  <c r="G29" i="23"/>
  <c r="N31" i="23"/>
  <c r="N34" i="23"/>
  <c r="M35" i="23"/>
  <c r="M38" i="23"/>
  <c r="N41" i="23"/>
  <c r="I38" i="22"/>
  <c r="N38" i="22" s="1"/>
  <c r="K38" i="22"/>
  <c r="J38" i="22" s="1"/>
  <c r="K39" i="22"/>
  <c r="J39" i="22" s="1"/>
  <c r="I39" i="22"/>
  <c r="P39" i="22" s="1"/>
  <c r="I35" i="22"/>
  <c r="R35" i="22" s="1"/>
  <c r="K35" i="22"/>
  <c r="J35" i="22" s="1"/>
  <c r="K36" i="22"/>
  <c r="J36" i="22" s="1"/>
  <c r="I36" i="22"/>
  <c r="R36" i="22" s="1"/>
  <c r="I42" i="22"/>
  <c r="R42" i="22" s="1"/>
  <c r="K42" i="22"/>
  <c r="J42" i="22" s="1"/>
  <c r="R28" i="22"/>
  <c r="N42" i="22"/>
  <c r="O28" i="22"/>
  <c r="N29" i="22"/>
  <c r="M30" i="22"/>
  <c r="Q30" i="22"/>
  <c r="G31" i="22"/>
  <c r="P31" i="22"/>
  <c r="O32" i="22"/>
  <c r="M33" i="22"/>
  <c r="Q33" i="22"/>
  <c r="G34" i="22"/>
  <c r="O35" i="22"/>
  <c r="N36" i="22"/>
  <c r="M37" i="22"/>
  <c r="O38" i="22"/>
  <c r="N39" i="22"/>
  <c r="M40" i="22"/>
  <c r="Q40" i="22"/>
  <c r="G41" i="22"/>
  <c r="P41" i="22"/>
  <c r="O42" i="22"/>
  <c r="N35" i="22"/>
  <c r="G28" i="22"/>
  <c r="P28" i="22"/>
  <c r="I30" i="22"/>
  <c r="R30" i="22" s="1"/>
  <c r="N30" i="22"/>
  <c r="M31" i="22"/>
  <c r="Q31" i="22"/>
  <c r="G32" i="22"/>
  <c r="P32" i="22"/>
  <c r="R33" i="22"/>
  <c r="M34" i="22"/>
  <c r="Q34" i="22"/>
  <c r="P35" i="22"/>
  <c r="N37" i="22"/>
  <c r="P38" i="22"/>
  <c r="N40" i="22"/>
  <c r="M41" i="22"/>
  <c r="Q41" i="22"/>
  <c r="P42" i="22"/>
  <c r="N32" i="22"/>
  <c r="R38" i="22"/>
  <c r="M28" i="22"/>
  <c r="G29" i="22"/>
  <c r="N31" i="22"/>
  <c r="N34" i="22"/>
  <c r="M35" i="22"/>
  <c r="M38" i="22"/>
  <c r="N41" i="22"/>
  <c r="I37" i="21"/>
  <c r="R37" i="21" s="1"/>
  <c r="K37" i="21"/>
  <c r="J37" i="21" s="1"/>
  <c r="M32" i="21"/>
  <c r="P32" i="21"/>
  <c r="O39" i="21"/>
  <c r="M39" i="21"/>
  <c r="O29" i="21"/>
  <c r="Q38" i="21"/>
  <c r="M38" i="21"/>
  <c r="P38" i="21"/>
  <c r="I39" i="21"/>
  <c r="P39" i="21" s="1"/>
  <c r="Q28" i="21"/>
  <c r="M28" i="21"/>
  <c r="P28" i="21"/>
  <c r="O28" i="21"/>
  <c r="Q29" i="21"/>
  <c r="G30" i="21"/>
  <c r="G31" i="21"/>
  <c r="N32" i="21"/>
  <c r="I35" i="21"/>
  <c r="R35" i="21" s="1"/>
  <c r="I36" i="21"/>
  <c r="R36" i="21" s="1"/>
  <c r="N39" i="21"/>
  <c r="M42" i="21"/>
  <c r="P42" i="21"/>
  <c r="G42" i="21"/>
  <c r="G32" i="21"/>
  <c r="M29" i="21"/>
  <c r="R38" i="21"/>
  <c r="R28" i="21"/>
  <c r="R29" i="21"/>
  <c r="O32" i="21"/>
  <c r="Q35" i="21"/>
  <c r="M35" i="21"/>
  <c r="P35" i="21"/>
  <c r="P36" i="21"/>
  <c r="O36" i="21"/>
  <c r="M36" i="21"/>
  <c r="O38" i="21"/>
  <c r="Q39" i="21"/>
  <c r="G40" i="21"/>
  <c r="G41" i="21"/>
  <c r="N42" i="21"/>
  <c r="N30" i="21"/>
  <c r="R33" i="21"/>
  <c r="N37" i="21"/>
  <c r="N40" i="21"/>
  <c r="G29" i="21"/>
  <c r="N31" i="21"/>
  <c r="N34" i="21"/>
  <c r="N41" i="21"/>
  <c r="K39" i="20"/>
  <c r="J39" i="20" s="1"/>
  <c r="I39" i="20"/>
  <c r="P39" i="20" s="1"/>
  <c r="K36" i="20"/>
  <c r="J36" i="20" s="1"/>
  <c r="I36" i="20"/>
  <c r="R36" i="20" s="1"/>
  <c r="K42" i="20"/>
  <c r="J42" i="20" s="1"/>
  <c r="I42" i="20"/>
  <c r="R42" i="20" s="1"/>
  <c r="I38" i="20"/>
  <c r="N38" i="20" s="1"/>
  <c r="K38" i="20"/>
  <c r="J38" i="20" s="1"/>
  <c r="I35" i="20"/>
  <c r="R35" i="20" s="1"/>
  <c r="K35" i="20"/>
  <c r="J35" i="20" s="1"/>
  <c r="N32" i="20"/>
  <c r="O28" i="20"/>
  <c r="N29" i="20"/>
  <c r="M30" i="20"/>
  <c r="Q30" i="20"/>
  <c r="G31" i="20"/>
  <c r="P31" i="20"/>
  <c r="O32" i="20"/>
  <c r="M33" i="20"/>
  <c r="Q33" i="20"/>
  <c r="G34" i="20"/>
  <c r="O35" i="20"/>
  <c r="N36" i="20"/>
  <c r="M37" i="20"/>
  <c r="O38" i="20"/>
  <c r="N39" i="20"/>
  <c r="M40" i="20"/>
  <c r="Q40" i="20"/>
  <c r="G41" i="20"/>
  <c r="P41" i="20"/>
  <c r="O42" i="20"/>
  <c r="R28" i="20"/>
  <c r="N35" i="20"/>
  <c r="G28" i="20"/>
  <c r="P28" i="20"/>
  <c r="N30" i="20"/>
  <c r="M31" i="20"/>
  <c r="Q31" i="20"/>
  <c r="G32" i="20"/>
  <c r="P32" i="20"/>
  <c r="R33" i="20"/>
  <c r="M34" i="20"/>
  <c r="Q34" i="20"/>
  <c r="P35" i="20"/>
  <c r="N37" i="20"/>
  <c r="P38" i="20"/>
  <c r="N40" i="20"/>
  <c r="M41" i="20"/>
  <c r="Q41" i="20"/>
  <c r="P42" i="20"/>
  <c r="R38" i="20"/>
  <c r="N42" i="20"/>
  <c r="M28" i="20"/>
  <c r="G29" i="20"/>
  <c r="N31" i="20"/>
  <c r="N34" i="20"/>
  <c r="M35" i="20"/>
  <c r="M38" i="20"/>
  <c r="N41" i="20"/>
  <c r="K37" i="18"/>
  <c r="J37" i="18" s="1"/>
  <c r="K33" i="18"/>
  <c r="J33" i="18" s="1"/>
  <c r="Q35" i="15"/>
  <c r="K38" i="19"/>
  <c r="J38" i="19" s="1"/>
  <c r="I38" i="19"/>
  <c r="N38" i="19" s="1"/>
  <c r="I35" i="19"/>
  <c r="R35" i="19" s="1"/>
  <c r="K35" i="19"/>
  <c r="J35" i="19" s="1"/>
  <c r="K36" i="19"/>
  <c r="J36" i="19" s="1"/>
  <c r="I36" i="19"/>
  <c r="R36" i="19" s="1"/>
  <c r="K42" i="19"/>
  <c r="J42" i="19" s="1"/>
  <c r="I42" i="19"/>
  <c r="R42" i="19" s="1"/>
  <c r="K39" i="19"/>
  <c r="J39" i="19" s="1"/>
  <c r="I39" i="19"/>
  <c r="P39" i="19" s="1"/>
  <c r="N35" i="19"/>
  <c r="O28" i="19"/>
  <c r="N29" i="19"/>
  <c r="R29" i="19"/>
  <c r="M30" i="19"/>
  <c r="Q30" i="19"/>
  <c r="G31" i="19"/>
  <c r="P31" i="19"/>
  <c r="O32" i="19"/>
  <c r="M33" i="19"/>
  <c r="Q33" i="19"/>
  <c r="G34" i="19"/>
  <c r="O35" i="19"/>
  <c r="N36" i="19"/>
  <c r="M37" i="19"/>
  <c r="O38" i="19"/>
  <c r="N39" i="19"/>
  <c r="R39" i="19"/>
  <c r="M40" i="19"/>
  <c r="Q40" i="19"/>
  <c r="G41" i="19"/>
  <c r="P41" i="19"/>
  <c r="O42" i="19"/>
  <c r="R28" i="19"/>
  <c r="N32" i="19"/>
  <c r="G28" i="19"/>
  <c r="P28" i="19"/>
  <c r="O29" i="19"/>
  <c r="N30" i="19"/>
  <c r="M31" i="19"/>
  <c r="Q31" i="19"/>
  <c r="G32" i="19"/>
  <c r="P32" i="19"/>
  <c r="R33" i="19"/>
  <c r="M34" i="19"/>
  <c r="Q34" i="19"/>
  <c r="P35" i="19"/>
  <c r="O36" i="19"/>
  <c r="N37" i="19"/>
  <c r="P38" i="19"/>
  <c r="O39" i="19"/>
  <c r="I40" i="19"/>
  <c r="R40" i="19" s="1"/>
  <c r="N40" i="19"/>
  <c r="M41" i="19"/>
  <c r="Q41" i="19"/>
  <c r="P42" i="19"/>
  <c r="R38" i="19"/>
  <c r="N42" i="19"/>
  <c r="M28" i="19"/>
  <c r="G29" i="19"/>
  <c r="N31" i="19"/>
  <c r="N34" i="19"/>
  <c r="M35" i="19"/>
  <c r="M38" i="19"/>
  <c r="N41" i="19"/>
  <c r="K42" i="18"/>
  <c r="J42" i="18" s="1"/>
  <c r="I42" i="18"/>
  <c r="R42" i="18" s="1"/>
  <c r="K38" i="18"/>
  <c r="J38" i="18" s="1"/>
  <c r="I38" i="18"/>
  <c r="N38" i="18" s="1"/>
  <c r="K39" i="18"/>
  <c r="J39" i="18" s="1"/>
  <c r="I39" i="18"/>
  <c r="P39" i="18" s="1"/>
  <c r="K35" i="18"/>
  <c r="J35" i="18" s="1"/>
  <c r="I35" i="18"/>
  <c r="R35" i="18" s="1"/>
  <c r="K36" i="18"/>
  <c r="J36" i="18" s="1"/>
  <c r="I36" i="18"/>
  <c r="R36" i="18" s="1"/>
  <c r="O28" i="18"/>
  <c r="N29" i="18"/>
  <c r="R29" i="18"/>
  <c r="M30" i="18"/>
  <c r="Q30" i="18"/>
  <c r="G31" i="18"/>
  <c r="P31" i="18"/>
  <c r="O32" i="18"/>
  <c r="M33" i="18"/>
  <c r="Q33" i="18"/>
  <c r="G34" i="18"/>
  <c r="O35" i="18"/>
  <c r="N36" i="18"/>
  <c r="M37" i="18"/>
  <c r="O38" i="18"/>
  <c r="N39" i="18"/>
  <c r="R39" i="18"/>
  <c r="M40" i="18"/>
  <c r="Q40" i="18"/>
  <c r="G41" i="18"/>
  <c r="P41" i="18"/>
  <c r="O42" i="18"/>
  <c r="K30" i="18"/>
  <c r="J30" i="18" s="1"/>
  <c r="N35" i="18"/>
  <c r="R38" i="18"/>
  <c r="G28" i="18"/>
  <c r="P28" i="18"/>
  <c r="N30" i="18"/>
  <c r="G32" i="18"/>
  <c r="P32" i="18"/>
  <c r="I33" i="18"/>
  <c r="N33" i="18" s="1"/>
  <c r="R33" i="18"/>
  <c r="P35" i="18"/>
  <c r="N37" i="18"/>
  <c r="P38" i="18"/>
  <c r="N40" i="18"/>
  <c r="M41" i="18"/>
  <c r="Q41" i="18"/>
  <c r="P42" i="18"/>
  <c r="R28" i="18"/>
  <c r="N32" i="18"/>
  <c r="N42" i="18"/>
  <c r="M28" i="18"/>
  <c r="G29" i="18"/>
  <c r="N31" i="18"/>
  <c r="N34" i="18"/>
  <c r="M35" i="18"/>
  <c r="M38" i="18"/>
  <c r="N41" i="18"/>
  <c r="K39" i="17"/>
  <c r="J39" i="17" s="1"/>
  <c r="I39" i="17"/>
  <c r="P39" i="17" s="1"/>
  <c r="K36" i="17"/>
  <c r="J36" i="17" s="1"/>
  <c r="I36" i="17"/>
  <c r="R36" i="17" s="1"/>
  <c r="K42" i="17"/>
  <c r="J42" i="17" s="1"/>
  <c r="I42" i="17"/>
  <c r="R42" i="17" s="1"/>
  <c r="I38" i="17"/>
  <c r="N38" i="17" s="1"/>
  <c r="K38" i="17"/>
  <c r="J38" i="17" s="1"/>
  <c r="K35" i="17"/>
  <c r="J35" i="17" s="1"/>
  <c r="I35" i="17"/>
  <c r="R35" i="17" s="1"/>
  <c r="R28" i="17"/>
  <c r="N35" i="17"/>
  <c r="N42" i="17"/>
  <c r="O28" i="17"/>
  <c r="N29" i="17"/>
  <c r="R29" i="17"/>
  <c r="M30" i="17"/>
  <c r="Q30" i="17"/>
  <c r="G31" i="17"/>
  <c r="P31" i="17"/>
  <c r="O32" i="17"/>
  <c r="M33" i="17"/>
  <c r="Q33" i="17"/>
  <c r="G34" i="17"/>
  <c r="O35" i="17"/>
  <c r="N36" i="17"/>
  <c r="M37" i="17"/>
  <c r="O38" i="17"/>
  <c r="N39" i="17"/>
  <c r="R39" i="17"/>
  <c r="M40" i="17"/>
  <c r="Q40" i="17"/>
  <c r="G41" i="17"/>
  <c r="P41" i="17"/>
  <c r="O42" i="17"/>
  <c r="K30" i="17"/>
  <c r="J30" i="17" s="1"/>
  <c r="N32" i="17"/>
  <c r="R38" i="17"/>
  <c r="G28" i="17"/>
  <c r="P28" i="17"/>
  <c r="O29" i="17"/>
  <c r="N30" i="17"/>
  <c r="R30" i="17"/>
  <c r="M31" i="17"/>
  <c r="Q31" i="17"/>
  <c r="G32" i="17"/>
  <c r="P32" i="17"/>
  <c r="R33" i="17"/>
  <c r="M34" i="17"/>
  <c r="Q34" i="17"/>
  <c r="P35" i="17"/>
  <c r="N37" i="17"/>
  <c r="P38" i="17"/>
  <c r="N40" i="17"/>
  <c r="M41" i="17"/>
  <c r="Q41" i="17"/>
  <c r="P42" i="17"/>
  <c r="M28" i="17"/>
  <c r="G29" i="17"/>
  <c r="N31" i="17"/>
  <c r="N34" i="17"/>
  <c r="M35" i="17"/>
  <c r="M38" i="17"/>
  <c r="N41" i="17"/>
  <c r="K35" i="16"/>
  <c r="J35" i="16" s="1"/>
  <c r="I35" i="16"/>
  <c r="R35" i="16" s="1"/>
  <c r="K39" i="16"/>
  <c r="J39" i="16" s="1"/>
  <c r="I39" i="16"/>
  <c r="P39" i="16" s="1"/>
  <c r="K36" i="16"/>
  <c r="J36" i="16" s="1"/>
  <c r="I36" i="16"/>
  <c r="R36" i="16" s="1"/>
  <c r="K42" i="16"/>
  <c r="J42" i="16" s="1"/>
  <c r="I42" i="16"/>
  <c r="R42" i="16" s="1"/>
  <c r="R28" i="16"/>
  <c r="K33" i="16"/>
  <c r="J33" i="16" s="1"/>
  <c r="O28" i="16"/>
  <c r="N29" i="16"/>
  <c r="R29" i="16"/>
  <c r="M30" i="16"/>
  <c r="Q30" i="16"/>
  <c r="G31" i="16"/>
  <c r="P31" i="16"/>
  <c r="O32" i="16"/>
  <c r="M33" i="16"/>
  <c r="Q33" i="16"/>
  <c r="G34" i="16"/>
  <c r="O35" i="16"/>
  <c r="N36" i="16"/>
  <c r="M37" i="16"/>
  <c r="O38" i="16"/>
  <c r="N39" i="16"/>
  <c r="R39" i="16"/>
  <c r="M40" i="16"/>
  <c r="Q40" i="16"/>
  <c r="G41" i="16"/>
  <c r="P41" i="16"/>
  <c r="O42" i="16"/>
  <c r="N35" i="16"/>
  <c r="G28" i="16"/>
  <c r="P28" i="16"/>
  <c r="O29" i="16"/>
  <c r="N30" i="16"/>
  <c r="M31" i="16"/>
  <c r="Q31" i="16"/>
  <c r="G32" i="16"/>
  <c r="P32" i="16"/>
  <c r="N33" i="16"/>
  <c r="R33" i="16"/>
  <c r="M34" i="16"/>
  <c r="Q34" i="16"/>
  <c r="P35" i="16"/>
  <c r="N37" i="16"/>
  <c r="P38" i="16"/>
  <c r="N40" i="16"/>
  <c r="M41" i="16"/>
  <c r="Q41" i="16"/>
  <c r="P42" i="16"/>
  <c r="N32" i="16"/>
  <c r="R38" i="16"/>
  <c r="N42" i="16"/>
  <c r="M28" i="16"/>
  <c r="G29" i="16"/>
  <c r="N31" i="16"/>
  <c r="N34" i="16"/>
  <c r="M35" i="16"/>
  <c r="M38" i="16"/>
  <c r="N41" i="16"/>
  <c r="K38" i="15"/>
  <c r="J38" i="15" s="1"/>
  <c r="I38" i="15"/>
  <c r="N38" i="15" s="1"/>
  <c r="K39" i="15"/>
  <c r="J39" i="15" s="1"/>
  <c r="I39" i="15"/>
  <c r="P39" i="15" s="1"/>
  <c r="I35" i="15"/>
  <c r="R35" i="15" s="1"/>
  <c r="K35" i="15"/>
  <c r="J35" i="15" s="1"/>
  <c r="K36" i="15"/>
  <c r="J36" i="15" s="1"/>
  <c r="I36" i="15"/>
  <c r="R36" i="15" s="1"/>
  <c r="R28" i="15"/>
  <c r="O28" i="15"/>
  <c r="N29" i="15"/>
  <c r="R29" i="15"/>
  <c r="M30" i="15"/>
  <c r="Q30" i="15"/>
  <c r="G31" i="15"/>
  <c r="P31" i="15"/>
  <c r="O32" i="15"/>
  <c r="M33" i="15"/>
  <c r="Q33" i="15"/>
  <c r="G34" i="15"/>
  <c r="O35" i="15"/>
  <c r="N36" i="15"/>
  <c r="M37" i="15"/>
  <c r="O38" i="15"/>
  <c r="N39" i="15"/>
  <c r="R39" i="15"/>
  <c r="M40" i="15"/>
  <c r="Q40" i="15"/>
  <c r="G41" i="15"/>
  <c r="P41" i="15"/>
  <c r="O42" i="15"/>
  <c r="N35" i="15"/>
  <c r="R38" i="15"/>
  <c r="G28" i="15"/>
  <c r="P28" i="15"/>
  <c r="O29" i="15"/>
  <c r="N30" i="15"/>
  <c r="M31" i="15"/>
  <c r="Q31" i="15"/>
  <c r="G32" i="15"/>
  <c r="P32" i="15"/>
  <c r="R33" i="15"/>
  <c r="M34" i="15"/>
  <c r="Q34" i="15"/>
  <c r="P35" i="15"/>
  <c r="O36" i="15"/>
  <c r="I37" i="15"/>
  <c r="R37" i="15" s="1"/>
  <c r="N37" i="15"/>
  <c r="P38" i="15"/>
  <c r="O39" i="15"/>
  <c r="N40" i="15"/>
  <c r="M41" i="15"/>
  <c r="Q41" i="15"/>
  <c r="P42" i="15"/>
  <c r="N32" i="15"/>
  <c r="N42" i="15"/>
  <c r="M28" i="15"/>
  <c r="G29" i="15"/>
  <c r="N31" i="15"/>
  <c r="N34" i="15"/>
  <c r="M35" i="15"/>
  <c r="M38" i="15"/>
  <c r="N41" i="15"/>
  <c r="K36" i="14"/>
  <c r="J36" i="14" s="1"/>
  <c r="I36" i="14"/>
  <c r="R36" i="14" s="1"/>
  <c r="K42" i="14"/>
  <c r="J42" i="14" s="1"/>
  <c r="I42" i="14"/>
  <c r="R42" i="14" s="1"/>
  <c r="K38" i="14"/>
  <c r="J38" i="14" s="1"/>
  <c r="I38" i="14"/>
  <c r="N38" i="14" s="1"/>
  <c r="K39" i="14"/>
  <c r="J39" i="14" s="1"/>
  <c r="I39" i="14"/>
  <c r="P39" i="14" s="1"/>
  <c r="I35" i="14"/>
  <c r="R35" i="14" s="1"/>
  <c r="K35" i="14"/>
  <c r="J35" i="14" s="1"/>
  <c r="R28" i="14"/>
  <c r="N32" i="14"/>
  <c r="N35" i="14"/>
  <c r="O28" i="14"/>
  <c r="N29" i="14"/>
  <c r="M30" i="14"/>
  <c r="Q30" i="14"/>
  <c r="G31" i="14"/>
  <c r="P31" i="14"/>
  <c r="O32" i="14"/>
  <c r="M33" i="14"/>
  <c r="Q33" i="14"/>
  <c r="G34" i="14"/>
  <c r="O35" i="14"/>
  <c r="N36" i="14"/>
  <c r="M37" i="14"/>
  <c r="O38" i="14"/>
  <c r="N39" i="14"/>
  <c r="M40" i="14"/>
  <c r="Q40" i="14"/>
  <c r="G41" i="14"/>
  <c r="P41" i="14"/>
  <c r="O42" i="14"/>
  <c r="K30" i="14"/>
  <c r="J30" i="14" s="1"/>
  <c r="R38" i="14"/>
  <c r="G28" i="14"/>
  <c r="P28" i="14"/>
  <c r="N30" i="14"/>
  <c r="R30" i="14"/>
  <c r="M31" i="14"/>
  <c r="Q31" i="14"/>
  <c r="G32" i="14"/>
  <c r="P32" i="14"/>
  <c r="I33" i="14"/>
  <c r="N33" i="14" s="1"/>
  <c r="R33" i="14"/>
  <c r="M34" i="14"/>
  <c r="Q34" i="14"/>
  <c r="P35" i="14"/>
  <c r="N37" i="14"/>
  <c r="P38" i="14"/>
  <c r="N40" i="14"/>
  <c r="M41" i="14"/>
  <c r="Q41" i="14"/>
  <c r="P42" i="14"/>
  <c r="N42" i="14"/>
  <c r="M28" i="14"/>
  <c r="G29" i="14"/>
  <c r="N31" i="14"/>
  <c r="N34" i="14"/>
  <c r="M35" i="14"/>
  <c r="M38" i="14"/>
  <c r="N41" i="14"/>
  <c r="K30" i="15" l="1"/>
  <c r="J30" i="15" s="1"/>
  <c r="K30" i="19"/>
  <c r="J30" i="19" s="1"/>
  <c r="K34" i="24"/>
  <c r="J34" i="24" s="1"/>
  <c r="K37" i="16"/>
  <c r="J37" i="16" s="1"/>
  <c r="I30" i="20"/>
  <c r="R30" i="20" s="1"/>
  <c r="I40" i="15"/>
  <c r="R40" i="15" s="1"/>
  <c r="I42" i="15"/>
  <c r="R42" i="15" s="1"/>
  <c r="K40" i="20"/>
  <c r="J40" i="20" s="1"/>
  <c r="K30" i="29"/>
  <c r="J30" i="29" s="1"/>
  <c r="I40" i="17"/>
  <c r="R40" i="17" s="1"/>
  <c r="K38" i="16"/>
  <c r="J38" i="16" s="1"/>
  <c r="I28" i="21"/>
  <c r="N28" i="21" s="1"/>
  <c r="K40" i="14"/>
  <c r="J40" i="14" s="1"/>
  <c r="I30" i="23"/>
  <c r="R30" i="23" s="1"/>
  <c r="K33" i="25"/>
  <c r="J33" i="25" s="1"/>
  <c r="K40" i="16"/>
  <c r="J40" i="16" s="1"/>
  <c r="K33" i="24"/>
  <c r="J33" i="24" s="1"/>
  <c r="K33" i="15"/>
  <c r="J33" i="15" s="1"/>
  <c r="K34" i="29"/>
  <c r="J34" i="29" s="1"/>
  <c r="I33" i="19"/>
  <c r="N33" i="19" s="1"/>
  <c r="K37" i="22"/>
  <c r="J37" i="22" s="1"/>
  <c r="K34" i="27"/>
  <c r="J34" i="27" s="1"/>
  <c r="I37" i="19"/>
  <c r="R37" i="19" s="1"/>
  <c r="K40" i="23"/>
  <c r="J40" i="23" s="1"/>
  <c r="K33" i="27"/>
  <c r="J33" i="27" s="1"/>
  <c r="I28" i="28"/>
  <c r="N28" i="28" s="1"/>
  <c r="K30" i="16"/>
  <c r="J30" i="16" s="1"/>
  <c r="K37" i="20"/>
  <c r="J37" i="20" s="1"/>
  <c r="K40" i="27"/>
  <c r="J40" i="27" s="1"/>
  <c r="K30" i="24"/>
  <c r="J30" i="24" s="1"/>
  <c r="I30" i="27"/>
  <c r="R30" i="27" s="1"/>
  <c r="K40" i="24"/>
  <c r="J40" i="24" s="1"/>
  <c r="K34" i="26"/>
  <c r="J34" i="26" s="1"/>
  <c r="K37" i="28"/>
  <c r="J37" i="28" s="1"/>
  <c r="I33" i="20"/>
  <c r="N33" i="20" s="1"/>
  <c r="K33" i="22"/>
  <c r="J33" i="22" s="1"/>
  <c r="K33" i="17"/>
  <c r="J33" i="17" s="1"/>
  <c r="I37" i="29"/>
  <c r="R37" i="29" s="1"/>
  <c r="K37" i="29"/>
  <c r="J37" i="29" s="1"/>
  <c r="I34" i="25"/>
  <c r="P34" i="25" s="1"/>
  <c r="K34" i="25"/>
  <c r="J34" i="25" s="1"/>
  <c r="K33" i="21"/>
  <c r="J33" i="21" s="1"/>
  <c r="K37" i="27"/>
  <c r="J37" i="27" s="1"/>
  <c r="I40" i="29"/>
  <c r="R40" i="29" s="1"/>
  <c r="K40" i="29"/>
  <c r="J40" i="29" s="1"/>
  <c r="I30" i="28"/>
  <c r="R30" i="28" s="1"/>
  <c r="K30" i="28"/>
  <c r="J30" i="28" s="1"/>
  <c r="K40" i="28"/>
  <c r="J40" i="28" s="1"/>
  <c r="I40" i="22"/>
  <c r="R40" i="22" s="1"/>
  <c r="K40" i="26"/>
  <c r="J40" i="26" s="1"/>
  <c r="I33" i="29"/>
  <c r="N33" i="29" s="1"/>
  <c r="K33" i="29"/>
  <c r="J33" i="29" s="1"/>
  <c r="K28" i="24"/>
  <c r="J28" i="24" s="1"/>
  <c r="I28" i="24"/>
  <c r="N28" i="24" s="1"/>
  <c r="K37" i="17"/>
  <c r="J37" i="17" s="1"/>
  <c r="I37" i="14"/>
  <c r="R37" i="14" s="1"/>
  <c r="K33" i="23"/>
  <c r="J33" i="23" s="1"/>
  <c r="K37" i="26"/>
  <c r="J37" i="26" s="1"/>
  <c r="K34" i="28"/>
  <c r="J34" i="28" s="1"/>
  <c r="K38" i="28"/>
  <c r="J38" i="28" s="1"/>
  <c r="I38" i="28"/>
  <c r="N38" i="28" s="1"/>
  <c r="I40" i="18"/>
  <c r="R40" i="18" s="1"/>
  <c r="K29" i="29"/>
  <c r="J29" i="29" s="1"/>
  <c r="I29" i="29"/>
  <c r="P29" i="29" s="1"/>
  <c r="K28" i="29"/>
  <c r="J28" i="29" s="1"/>
  <c r="I28" i="29"/>
  <c r="N28" i="29" s="1"/>
  <c r="K32" i="29"/>
  <c r="J32" i="29" s="1"/>
  <c r="I32" i="29"/>
  <c r="R32" i="29" s="1"/>
  <c r="I41" i="29"/>
  <c r="R41" i="29" s="1"/>
  <c r="K41" i="29"/>
  <c r="J41" i="29" s="1"/>
  <c r="I31" i="29"/>
  <c r="R31" i="29" s="1"/>
  <c r="K31" i="29"/>
  <c r="J31" i="29" s="1"/>
  <c r="K29" i="28"/>
  <c r="J29" i="28" s="1"/>
  <c r="I29" i="28"/>
  <c r="P29" i="28" s="1"/>
  <c r="K32" i="28"/>
  <c r="J32" i="28" s="1"/>
  <c r="I32" i="28"/>
  <c r="R32" i="28" s="1"/>
  <c r="I31" i="28"/>
  <c r="R31" i="28" s="1"/>
  <c r="K31" i="28"/>
  <c r="J31" i="28" s="1"/>
  <c r="I41" i="28"/>
  <c r="R41" i="28" s="1"/>
  <c r="K41" i="28"/>
  <c r="J41" i="28" s="1"/>
  <c r="K29" i="27"/>
  <c r="J29" i="27" s="1"/>
  <c r="I29" i="27"/>
  <c r="P29" i="27" s="1"/>
  <c r="K28" i="27"/>
  <c r="J28" i="27" s="1"/>
  <c r="I28" i="27"/>
  <c r="N28" i="27" s="1"/>
  <c r="K32" i="27"/>
  <c r="J32" i="27" s="1"/>
  <c r="I32" i="27"/>
  <c r="R32" i="27" s="1"/>
  <c r="I41" i="27"/>
  <c r="R41" i="27" s="1"/>
  <c r="K41" i="27"/>
  <c r="J41" i="27" s="1"/>
  <c r="I31" i="27"/>
  <c r="R31" i="27" s="1"/>
  <c r="K31" i="27"/>
  <c r="J31" i="27" s="1"/>
  <c r="K32" i="26"/>
  <c r="J32" i="26" s="1"/>
  <c r="I32" i="26"/>
  <c r="R32" i="26" s="1"/>
  <c r="I28" i="26"/>
  <c r="N28" i="26" s="1"/>
  <c r="K28" i="26"/>
  <c r="J28" i="26" s="1"/>
  <c r="K29" i="26"/>
  <c r="J29" i="26" s="1"/>
  <c r="I29" i="26"/>
  <c r="P29" i="26" s="1"/>
  <c r="I41" i="26"/>
  <c r="R41" i="26" s="1"/>
  <c r="K41" i="26"/>
  <c r="J41" i="26" s="1"/>
  <c r="I31" i="26"/>
  <c r="R31" i="26" s="1"/>
  <c r="K31" i="26"/>
  <c r="J31" i="26" s="1"/>
  <c r="I40" i="25"/>
  <c r="R40" i="25" s="1"/>
  <c r="K40" i="25"/>
  <c r="J40" i="25" s="1"/>
  <c r="I31" i="25"/>
  <c r="R31" i="25" s="1"/>
  <c r="K31" i="25"/>
  <c r="J31" i="25" s="1"/>
  <c r="K42" i="25"/>
  <c r="J42" i="25" s="1"/>
  <c r="I42" i="25"/>
  <c r="R42" i="25" s="1"/>
  <c r="I41" i="25"/>
  <c r="R41" i="25" s="1"/>
  <c r="K41" i="25"/>
  <c r="J41" i="25" s="1"/>
  <c r="I37" i="25"/>
  <c r="R37" i="25" s="1"/>
  <c r="K37" i="25"/>
  <c r="J37" i="25" s="1"/>
  <c r="K32" i="25"/>
  <c r="J32" i="25" s="1"/>
  <c r="I32" i="25"/>
  <c r="R32" i="25" s="1"/>
  <c r="K29" i="25"/>
  <c r="J29" i="25" s="1"/>
  <c r="I29" i="25"/>
  <c r="P29" i="25" s="1"/>
  <c r="I30" i="25"/>
  <c r="R30" i="25" s="1"/>
  <c r="K30" i="25"/>
  <c r="J30" i="25" s="1"/>
  <c r="K42" i="24"/>
  <c r="J42" i="24" s="1"/>
  <c r="I42" i="24"/>
  <c r="R42" i="24" s="1"/>
  <c r="K29" i="24"/>
  <c r="J29" i="24" s="1"/>
  <c r="I29" i="24"/>
  <c r="P29" i="24" s="1"/>
  <c r="I31" i="24"/>
  <c r="R31" i="24" s="1"/>
  <c r="K31" i="24"/>
  <c r="J31" i="24" s="1"/>
  <c r="K36" i="24"/>
  <c r="J36" i="24" s="1"/>
  <c r="I36" i="24"/>
  <c r="R36" i="24" s="1"/>
  <c r="I41" i="24"/>
  <c r="R41" i="24" s="1"/>
  <c r="K41" i="24"/>
  <c r="J41" i="24" s="1"/>
  <c r="K32" i="24"/>
  <c r="J32" i="24" s="1"/>
  <c r="I32" i="24"/>
  <c r="R32" i="24" s="1"/>
  <c r="I32" i="23"/>
  <c r="R32" i="23" s="1"/>
  <c r="K32" i="23"/>
  <c r="J32" i="23" s="1"/>
  <c r="K29" i="23"/>
  <c r="J29" i="23" s="1"/>
  <c r="I29" i="23"/>
  <c r="P29" i="23" s="1"/>
  <c r="I41" i="23"/>
  <c r="R41" i="23" s="1"/>
  <c r="K41" i="23"/>
  <c r="J41" i="23" s="1"/>
  <c r="I31" i="23"/>
  <c r="R31" i="23" s="1"/>
  <c r="K31" i="23"/>
  <c r="J31" i="23" s="1"/>
  <c r="I34" i="23"/>
  <c r="P34" i="23" s="1"/>
  <c r="K34" i="23"/>
  <c r="J34" i="23" s="1"/>
  <c r="I28" i="23"/>
  <c r="N28" i="23" s="1"/>
  <c r="K28" i="23"/>
  <c r="J28" i="23" s="1"/>
  <c r="K29" i="22"/>
  <c r="J29" i="22" s="1"/>
  <c r="I29" i="22"/>
  <c r="P29" i="22" s="1"/>
  <c r="I34" i="22"/>
  <c r="P34" i="22" s="1"/>
  <c r="K34" i="22"/>
  <c r="J34" i="22" s="1"/>
  <c r="I41" i="22"/>
  <c r="R41" i="22" s="1"/>
  <c r="K41" i="22"/>
  <c r="J41" i="22" s="1"/>
  <c r="I28" i="22"/>
  <c r="N28" i="22" s="1"/>
  <c r="K28" i="22"/>
  <c r="J28" i="22" s="1"/>
  <c r="I31" i="22"/>
  <c r="R31" i="22" s="1"/>
  <c r="K31" i="22"/>
  <c r="J31" i="22" s="1"/>
  <c r="K32" i="22"/>
  <c r="J32" i="22" s="1"/>
  <c r="I32" i="22"/>
  <c r="R32" i="22" s="1"/>
  <c r="I30" i="21"/>
  <c r="R30" i="21" s="1"/>
  <c r="K30" i="21"/>
  <c r="J30" i="21" s="1"/>
  <c r="I41" i="21"/>
  <c r="R41" i="21" s="1"/>
  <c r="K41" i="21"/>
  <c r="J41" i="21" s="1"/>
  <c r="I40" i="21"/>
  <c r="R40" i="21" s="1"/>
  <c r="K40" i="21"/>
  <c r="J40" i="21" s="1"/>
  <c r="K32" i="21"/>
  <c r="J32" i="21" s="1"/>
  <c r="I32" i="21"/>
  <c r="R32" i="21" s="1"/>
  <c r="K29" i="21"/>
  <c r="J29" i="21" s="1"/>
  <c r="I29" i="21"/>
  <c r="P29" i="21" s="1"/>
  <c r="K42" i="21"/>
  <c r="J42" i="21" s="1"/>
  <c r="I42" i="21"/>
  <c r="R42" i="21" s="1"/>
  <c r="I31" i="21"/>
  <c r="R31" i="21" s="1"/>
  <c r="K31" i="21"/>
  <c r="J31" i="21" s="1"/>
  <c r="K29" i="20"/>
  <c r="J29" i="20" s="1"/>
  <c r="I29" i="20"/>
  <c r="P29" i="20" s="1"/>
  <c r="I28" i="20"/>
  <c r="N28" i="20" s="1"/>
  <c r="K28" i="20"/>
  <c r="J28" i="20" s="1"/>
  <c r="I41" i="20"/>
  <c r="R41" i="20" s="1"/>
  <c r="K41" i="20"/>
  <c r="J41" i="20" s="1"/>
  <c r="I32" i="20"/>
  <c r="R32" i="20" s="1"/>
  <c r="K32" i="20"/>
  <c r="J32" i="20" s="1"/>
  <c r="I31" i="20"/>
  <c r="R31" i="20" s="1"/>
  <c r="K31" i="20"/>
  <c r="J31" i="20" s="1"/>
  <c r="I34" i="20"/>
  <c r="P34" i="20" s="1"/>
  <c r="K34" i="20"/>
  <c r="J34" i="20" s="1"/>
  <c r="I34" i="19"/>
  <c r="P34" i="19" s="1"/>
  <c r="K34" i="19"/>
  <c r="J34" i="19" s="1"/>
  <c r="K29" i="19"/>
  <c r="J29" i="19" s="1"/>
  <c r="I29" i="19"/>
  <c r="P29" i="19" s="1"/>
  <c r="K28" i="19"/>
  <c r="J28" i="19" s="1"/>
  <c r="I28" i="19"/>
  <c r="N28" i="19" s="1"/>
  <c r="I32" i="19"/>
  <c r="R32" i="19" s="1"/>
  <c r="K32" i="19"/>
  <c r="J32" i="19" s="1"/>
  <c r="I41" i="19"/>
  <c r="R41" i="19" s="1"/>
  <c r="K41" i="19"/>
  <c r="J41" i="19" s="1"/>
  <c r="I31" i="19"/>
  <c r="R31" i="19" s="1"/>
  <c r="K31" i="19"/>
  <c r="J31" i="19" s="1"/>
  <c r="I34" i="18"/>
  <c r="P34" i="18" s="1"/>
  <c r="K34" i="18"/>
  <c r="J34" i="18" s="1"/>
  <c r="K29" i="18"/>
  <c r="J29" i="18" s="1"/>
  <c r="I29" i="18"/>
  <c r="P29" i="18" s="1"/>
  <c r="K32" i="18"/>
  <c r="J32" i="18" s="1"/>
  <c r="I32" i="18"/>
  <c r="R32" i="18" s="1"/>
  <c r="K28" i="18"/>
  <c r="J28" i="18" s="1"/>
  <c r="I28" i="18"/>
  <c r="N28" i="18" s="1"/>
  <c r="I41" i="18"/>
  <c r="R41" i="18" s="1"/>
  <c r="K41" i="18"/>
  <c r="J41" i="18" s="1"/>
  <c r="I31" i="18"/>
  <c r="R31" i="18" s="1"/>
  <c r="K31" i="18"/>
  <c r="J31" i="18" s="1"/>
  <c r="K28" i="17"/>
  <c r="J28" i="17" s="1"/>
  <c r="I28" i="17"/>
  <c r="N28" i="17" s="1"/>
  <c r="I34" i="17"/>
  <c r="P34" i="17" s="1"/>
  <c r="K34" i="17"/>
  <c r="J34" i="17" s="1"/>
  <c r="I41" i="17"/>
  <c r="R41" i="17" s="1"/>
  <c r="K41" i="17"/>
  <c r="J41" i="17" s="1"/>
  <c r="I31" i="17"/>
  <c r="R31" i="17" s="1"/>
  <c r="K31" i="17"/>
  <c r="J31" i="17" s="1"/>
  <c r="K29" i="17"/>
  <c r="J29" i="17" s="1"/>
  <c r="I29" i="17"/>
  <c r="P29" i="17" s="1"/>
  <c r="K32" i="17"/>
  <c r="J32" i="17" s="1"/>
  <c r="I32" i="17"/>
  <c r="R32" i="17" s="1"/>
  <c r="K29" i="16"/>
  <c r="J29" i="16" s="1"/>
  <c r="I29" i="16"/>
  <c r="P29" i="16" s="1"/>
  <c r="K32" i="16"/>
  <c r="J32" i="16" s="1"/>
  <c r="I32" i="16"/>
  <c r="R32" i="16" s="1"/>
  <c r="I41" i="16"/>
  <c r="R41" i="16" s="1"/>
  <c r="K41" i="16"/>
  <c r="J41" i="16" s="1"/>
  <c r="I31" i="16"/>
  <c r="R31" i="16" s="1"/>
  <c r="K31" i="16"/>
  <c r="J31" i="16" s="1"/>
  <c r="K28" i="16"/>
  <c r="J28" i="16" s="1"/>
  <c r="I28" i="16"/>
  <c r="N28" i="16" s="1"/>
  <c r="I34" i="16"/>
  <c r="P34" i="16" s="1"/>
  <c r="K34" i="16"/>
  <c r="J34" i="16" s="1"/>
  <c r="K29" i="15"/>
  <c r="J29" i="15" s="1"/>
  <c r="I29" i="15"/>
  <c r="P29" i="15" s="1"/>
  <c r="K28" i="15"/>
  <c r="J28" i="15" s="1"/>
  <c r="I28" i="15"/>
  <c r="N28" i="15" s="1"/>
  <c r="I41" i="15"/>
  <c r="R41" i="15" s="1"/>
  <c r="K41" i="15"/>
  <c r="J41" i="15" s="1"/>
  <c r="I31" i="15"/>
  <c r="R31" i="15" s="1"/>
  <c r="K31" i="15"/>
  <c r="J31" i="15" s="1"/>
  <c r="K32" i="15"/>
  <c r="J32" i="15" s="1"/>
  <c r="I32" i="15"/>
  <c r="R32" i="15" s="1"/>
  <c r="I34" i="15"/>
  <c r="P34" i="15" s="1"/>
  <c r="K34" i="15"/>
  <c r="J34" i="15" s="1"/>
  <c r="I34" i="14"/>
  <c r="P34" i="14" s="1"/>
  <c r="K34" i="14"/>
  <c r="J34" i="14" s="1"/>
  <c r="K28" i="14"/>
  <c r="J28" i="14" s="1"/>
  <c r="I28" i="14"/>
  <c r="N28" i="14" s="1"/>
  <c r="I41" i="14"/>
  <c r="R41" i="14" s="1"/>
  <c r="K41" i="14"/>
  <c r="J41" i="14" s="1"/>
  <c r="K29" i="14"/>
  <c r="J29" i="14" s="1"/>
  <c r="I29" i="14"/>
  <c r="P29" i="14" s="1"/>
  <c r="I31" i="14"/>
  <c r="R31" i="14" s="1"/>
  <c r="K31" i="14"/>
  <c r="J31" i="14" s="1"/>
  <c r="I32" i="14"/>
  <c r="R32" i="14" s="1"/>
  <c r="K32" i="14"/>
  <c r="J32" i="14" s="1"/>
  <c r="C28" i="10" l="1"/>
  <c r="H42" i="13"/>
  <c r="Q42" i="13" s="1"/>
  <c r="C42" i="13"/>
  <c r="M42" i="13" s="1"/>
  <c r="H41" i="13"/>
  <c r="C41" i="13"/>
  <c r="O41" i="13" s="1"/>
  <c r="H40" i="13"/>
  <c r="C40" i="13"/>
  <c r="O40" i="13" s="1"/>
  <c r="H39" i="13"/>
  <c r="C39" i="13"/>
  <c r="R39" i="13" s="1"/>
  <c r="H38" i="13"/>
  <c r="C38" i="13"/>
  <c r="Q38" i="13" s="1"/>
  <c r="H37" i="13"/>
  <c r="Q37" i="13" s="1"/>
  <c r="C37" i="13"/>
  <c r="O37" i="13" s="1"/>
  <c r="H36" i="13"/>
  <c r="C36" i="13"/>
  <c r="M36" i="13" s="1"/>
  <c r="H35" i="13"/>
  <c r="C35" i="13"/>
  <c r="H34" i="13"/>
  <c r="C34" i="13"/>
  <c r="R34" i="13" s="1"/>
  <c r="H33" i="13"/>
  <c r="C33" i="13"/>
  <c r="O33" i="13" s="1"/>
  <c r="H32" i="13"/>
  <c r="Q32" i="13" s="1"/>
  <c r="C32" i="13"/>
  <c r="M32" i="13" s="1"/>
  <c r="H31" i="13"/>
  <c r="C31" i="13"/>
  <c r="O31" i="13" s="1"/>
  <c r="H30" i="13"/>
  <c r="C30" i="13"/>
  <c r="O30" i="13" s="1"/>
  <c r="H29" i="13"/>
  <c r="C29" i="13"/>
  <c r="Q29" i="13" s="1"/>
  <c r="H28" i="13"/>
  <c r="C28" i="13"/>
  <c r="Q28" i="13" s="1"/>
  <c r="S13" i="13"/>
  <c r="T13" i="13" s="1"/>
  <c r="Q13" i="13"/>
  <c r="R13" i="13" s="1"/>
  <c r="U13" i="13" s="1"/>
  <c r="G42" i="13"/>
  <c r="U12" i="13"/>
  <c r="T12" i="13"/>
  <c r="S12" i="13"/>
  <c r="G36" i="13"/>
  <c r="S10" i="13"/>
  <c r="T10" i="13" s="1"/>
  <c r="Q10" i="13"/>
  <c r="R10" i="13" s="1"/>
  <c r="U10" i="13" s="1"/>
  <c r="U9" i="13"/>
  <c r="T9" i="13"/>
  <c r="S9" i="13"/>
  <c r="G35" i="13"/>
  <c r="S7" i="13"/>
  <c r="T7" i="13" s="1"/>
  <c r="Q7" i="13"/>
  <c r="R7" i="13" s="1"/>
  <c r="U7" i="13" s="1"/>
  <c r="G39" i="13"/>
  <c r="U6" i="13"/>
  <c r="T6" i="13"/>
  <c r="S6" i="13"/>
  <c r="G38" i="13"/>
  <c r="H42" i="12"/>
  <c r="Q42" i="12" s="1"/>
  <c r="C42" i="12"/>
  <c r="M42" i="12" s="1"/>
  <c r="H41" i="12"/>
  <c r="C41" i="12"/>
  <c r="O41" i="12" s="1"/>
  <c r="H40" i="12"/>
  <c r="C40" i="12"/>
  <c r="O40" i="12" s="1"/>
  <c r="H39" i="12"/>
  <c r="C39" i="12"/>
  <c r="Q39" i="12" s="1"/>
  <c r="H38" i="12"/>
  <c r="C38" i="12"/>
  <c r="Q38" i="12" s="1"/>
  <c r="H37" i="12"/>
  <c r="Q37" i="12" s="1"/>
  <c r="C37" i="12"/>
  <c r="O37" i="12" s="1"/>
  <c r="H36" i="12"/>
  <c r="C36" i="12"/>
  <c r="P36" i="12" s="1"/>
  <c r="H35" i="12"/>
  <c r="C35" i="12"/>
  <c r="H34" i="12"/>
  <c r="C34" i="12"/>
  <c r="R34" i="12" s="1"/>
  <c r="H33" i="12"/>
  <c r="C33" i="12"/>
  <c r="O33" i="12" s="1"/>
  <c r="H32" i="12"/>
  <c r="Q32" i="12" s="1"/>
  <c r="C32" i="12"/>
  <c r="M32" i="12" s="1"/>
  <c r="H31" i="12"/>
  <c r="C31" i="12"/>
  <c r="O31" i="12" s="1"/>
  <c r="H30" i="12"/>
  <c r="C30" i="12"/>
  <c r="O30" i="12" s="1"/>
  <c r="H29" i="12"/>
  <c r="C29" i="12"/>
  <c r="Q29" i="12" s="1"/>
  <c r="H28" i="12"/>
  <c r="G28" i="12"/>
  <c r="K28" i="12" s="1"/>
  <c r="J28" i="12" s="1"/>
  <c r="C28" i="12"/>
  <c r="Q28" i="12" s="1"/>
  <c r="S13" i="12"/>
  <c r="T13" i="12" s="1"/>
  <c r="Q13" i="12"/>
  <c r="R13" i="12" s="1"/>
  <c r="U13" i="12" s="1"/>
  <c r="G32" i="12"/>
  <c r="U12" i="12"/>
  <c r="T12" i="12"/>
  <c r="S12" i="12"/>
  <c r="G36" i="12"/>
  <c r="S10" i="12"/>
  <c r="T10" i="12" s="1"/>
  <c r="Q10" i="12"/>
  <c r="R10" i="12" s="1"/>
  <c r="U10" i="12" s="1"/>
  <c r="U9" i="12"/>
  <c r="T9" i="12"/>
  <c r="S9" i="12"/>
  <c r="G35" i="12"/>
  <c r="S7" i="12"/>
  <c r="T7" i="12" s="1"/>
  <c r="Q7" i="12"/>
  <c r="R7" i="12" s="1"/>
  <c r="U7" i="12" s="1"/>
  <c r="G39" i="12"/>
  <c r="U6" i="12"/>
  <c r="T6" i="12"/>
  <c r="S6" i="12"/>
  <c r="G38" i="12"/>
  <c r="H42" i="11"/>
  <c r="Q42" i="11" s="1"/>
  <c r="C42" i="11"/>
  <c r="O42" i="11" s="1"/>
  <c r="H41" i="11"/>
  <c r="C41" i="11"/>
  <c r="M41" i="11" s="1"/>
  <c r="H40" i="11"/>
  <c r="C40" i="11"/>
  <c r="O40" i="11" s="1"/>
  <c r="H39" i="11"/>
  <c r="C39" i="11"/>
  <c r="R39" i="11" s="1"/>
  <c r="H38" i="11"/>
  <c r="G38" i="11"/>
  <c r="C38" i="11"/>
  <c r="H37" i="11"/>
  <c r="Q37" i="11" s="1"/>
  <c r="C37" i="11"/>
  <c r="O37" i="11" s="1"/>
  <c r="H36" i="11"/>
  <c r="C36" i="11"/>
  <c r="N36" i="11" s="1"/>
  <c r="H35" i="11"/>
  <c r="C35" i="11"/>
  <c r="O35" i="11" s="1"/>
  <c r="H34" i="11"/>
  <c r="C34" i="11"/>
  <c r="R34" i="11" s="1"/>
  <c r="H33" i="11"/>
  <c r="G33" i="11"/>
  <c r="I33" i="11" s="1"/>
  <c r="C33" i="11"/>
  <c r="O33" i="11" s="1"/>
  <c r="H32" i="11"/>
  <c r="Q32" i="11" s="1"/>
  <c r="C32" i="11"/>
  <c r="H31" i="11"/>
  <c r="C31" i="11"/>
  <c r="O31" i="11" s="1"/>
  <c r="H30" i="11"/>
  <c r="C30" i="11"/>
  <c r="O30" i="11" s="1"/>
  <c r="H29" i="11"/>
  <c r="C29" i="11"/>
  <c r="H28" i="11"/>
  <c r="C28" i="11"/>
  <c r="S13" i="11"/>
  <c r="T13" i="11" s="1"/>
  <c r="Q13" i="11"/>
  <c r="R13" i="11" s="1"/>
  <c r="U13" i="11" s="1"/>
  <c r="U12" i="11"/>
  <c r="T12" i="11"/>
  <c r="S12" i="11"/>
  <c r="G36" i="11"/>
  <c r="S10" i="11"/>
  <c r="T10" i="11" s="1"/>
  <c r="Q10" i="11"/>
  <c r="R10" i="11" s="1"/>
  <c r="U10" i="11" s="1"/>
  <c r="U9" i="11"/>
  <c r="T9" i="11"/>
  <c r="S9" i="11"/>
  <c r="G35" i="11"/>
  <c r="S7" i="11"/>
  <c r="T7" i="11" s="1"/>
  <c r="Q7" i="11"/>
  <c r="R7" i="11" s="1"/>
  <c r="U7" i="11" s="1"/>
  <c r="G39" i="11"/>
  <c r="U6" i="11"/>
  <c r="T6" i="11"/>
  <c r="S6" i="11"/>
  <c r="G28" i="11"/>
  <c r="I28" i="11" s="1"/>
  <c r="C30" i="10"/>
  <c r="Q35" i="13" l="1"/>
  <c r="O29" i="12"/>
  <c r="N28" i="11"/>
  <c r="Q31" i="11"/>
  <c r="K36" i="11"/>
  <c r="J36" i="11" s="1"/>
  <c r="O34" i="13"/>
  <c r="Q34" i="12"/>
  <c r="M29" i="12"/>
  <c r="Q33" i="11"/>
  <c r="G34" i="11"/>
  <c r="I34" i="11" s="1"/>
  <c r="P34" i="11" s="1"/>
  <c r="G42" i="12"/>
  <c r="K42" i="12" s="1"/>
  <c r="J42" i="12" s="1"/>
  <c r="O39" i="13"/>
  <c r="G33" i="12"/>
  <c r="I33" i="12" s="1"/>
  <c r="K32" i="12"/>
  <c r="J32" i="12" s="1"/>
  <c r="I32" i="12"/>
  <c r="R32" i="12" s="1"/>
  <c r="K38" i="12"/>
  <c r="J38" i="12" s="1"/>
  <c r="I38" i="12"/>
  <c r="N38" i="12" s="1"/>
  <c r="M33" i="11"/>
  <c r="G37" i="13"/>
  <c r="I37" i="13" s="1"/>
  <c r="R37" i="13" s="1"/>
  <c r="I28" i="12"/>
  <c r="N28" i="12" s="1"/>
  <c r="K39" i="11"/>
  <c r="J39" i="11" s="1"/>
  <c r="M30" i="11"/>
  <c r="N35" i="11"/>
  <c r="M40" i="11"/>
  <c r="M29" i="13"/>
  <c r="G33" i="13"/>
  <c r="I33" i="13" s="1"/>
  <c r="N33" i="13" s="1"/>
  <c r="Q30" i="11"/>
  <c r="Q40" i="11"/>
  <c r="Q41" i="12"/>
  <c r="Q31" i="12"/>
  <c r="O39" i="12"/>
  <c r="Q35" i="12"/>
  <c r="G37" i="12"/>
  <c r="I37" i="12" s="1"/>
  <c r="R37" i="12" s="1"/>
  <c r="G30" i="13"/>
  <c r="I30" i="13" s="1"/>
  <c r="R30" i="13" s="1"/>
  <c r="G40" i="13"/>
  <c r="I40" i="13" s="1"/>
  <c r="R40" i="13" s="1"/>
  <c r="K35" i="11"/>
  <c r="J35" i="11" s="1"/>
  <c r="P31" i="11"/>
  <c r="O34" i="11"/>
  <c r="K38" i="11"/>
  <c r="J38" i="11" s="1"/>
  <c r="I38" i="11"/>
  <c r="N38" i="11" s="1"/>
  <c r="P33" i="13"/>
  <c r="P40" i="13"/>
  <c r="P36" i="13"/>
  <c r="Q36" i="13"/>
  <c r="M39" i="13"/>
  <c r="O36" i="13"/>
  <c r="P30" i="13"/>
  <c r="P37" i="13"/>
  <c r="Q39" i="13"/>
  <c r="P30" i="12"/>
  <c r="M31" i="12"/>
  <c r="P33" i="12"/>
  <c r="M34" i="12"/>
  <c r="Q36" i="12"/>
  <c r="M39" i="12"/>
  <c r="M41" i="12"/>
  <c r="O36" i="12"/>
  <c r="O34" i="12"/>
  <c r="M36" i="12"/>
  <c r="P41" i="11"/>
  <c r="P30" i="11"/>
  <c r="M31" i="11"/>
  <c r="Q34" i="11"/>
  <c r="Q36" i="11"/>
  <c r="Q41" i="11"/>
  <c r="P37" i="11"/>
  <c r="O41" i="11"/>
  <c r="P33" i="11"/>
  <c r="M34" i="11"/>
  <c r="M37" i="11"/>
  <c r="P40" i="11"/>
  <c r="K38" i="13"/>
  <c r="J38" i="13" s="1"/>
  <c r="I38" i="13"/>
  <c r="N38" i="13" s="1"/>
  <c r="K39" i="13"/>
  <c r="J39" i="13" s="1"/>
  <c r="I39" i="13"/>
  <c r="P39" i="13" s="1"/>
  <c r="K35" i="13"/>
  <c r="J35" i="13" s="1"/>
  <c r="I35" i="13"/>
  <c r="R35" i="13" s="1"/>
  <c r="K36" i="13"/>
  <c r="J36" i="13" s="1"/>
  <c r="I36" i="13"/>
  <c r="R36" i="13" s="1"/>
  <c r="K42" i="13"/>
  <c r="J42" i="13" s="1"/>
  <c r="I42" i="13"/>
  <c r="R42" i="13" s="1"/>
  <c r="R28" i="13"/>
  <c r="N32" i="13"/>
  <c r="K40" i="13"/>
  <c r="J40" i="13" s="1"/>
  <c r="O28" i="13"/>
  <c r="N29" i="13"/>
  <c r="R29" i="13"/>
  <c r="M30" i="13"/>
  <c r="Q30" i="13"/>
  <c r="G31" i="13"/>
  <c r="P31" i="13"/>
  <c r="O32" i="13"/>
  <c r="M33" i="13"/>
  <c r="Q33" i="13"/>
  <c r="G34" i="13"/>
  <c r="O35" i="13"/>
  <c r="N36" i="13"/>
  <c r="M37" i="13"/>
  <c r="O38" i="13"/>
  <c r="N39" i="13"/>
  <c r="M40" i="13"/>
  <c r="Q40" i="13"/>
  <c r="G41" i="13"/>
  <c r="P41" i="13"/>
  <c r="O42" i="13"/>
  <c r="R38" i="13"/>
  <c r="N42" i="13"/>
  <c r="G28" i="13"/>
  <c r="P28" i="13"/>
  <c r="O29" i="13"/>
  <c r="N30" i="13"/>
  <c r="M31" i="13"/>
  <c r="Q31" i="13"/>
  <c r="G32" i="13"/>
  <c r="P32" i="13"/>
  <c r="R33" i="13"/>
  <c r="M34" i="13"/>
  <c r="Q34" i="13"/>
  <c r="P35" i="13"/>
  <c r="N37" i="13"/>
  <c r="P38" i="13"/>
  <c r="N40" i="13"/>
  <c r="M41" i="13"/>
  <c r="Q41" i="13"/>
  <c r="P42" i="13"/>
  <c r="N35" i="13"/>
  <c r="M28" i="13"/>
  <c r="G29" i="13"/>
  <c r="N31" i="13"/>
  <c r="N34" i="13"/>
  <c r="M35" i="13"/>
  <c r="M38" i="13"/>
  <c r="N41" i="13"/>
  <c r="K36" i="12"/>
  <c r="J36" i="12" s="1"/>
  <c r="I36" i="12"/>
  <c r="R36" i="12" s="1"/>
  <c r="K39" i="12"/>
  <c r="J39" i="12" s="1"/>
  <c r="I39" i="12"/>
  <c r="P39" i="12" s="1"/>
  <c r="K35" i="12"/>
  <c r="J35" i="12" s="1"/>
  <c r="I35" i="12"/>
  <c r="R35" i="12" s="1"/>
  <c r="R28" i="12"/>
  <c r="G30" i="12"/>
  <c r="N32" i="12"/>
  <c r="K33" i="12"/>
  <c r="J33" i="12" s="1"/>
  <c r="N35" i="12"/>
  <c r="P37" i="12"/>
  <c r="R38" i="12"/>
  <c r="G40" i="12"/>
  <c r="P40" i="12"/>
  <c r="N42" i="12"/>
  <c r="O28" i="12"/>
  <c r="N29" i="12"/>
  <c r="R29" i="12"/>
  <c r="M30" i="12"/>
  <c r="Q30" i="12"/>
  <c r="G31" i="12"/>
  <c r="P31" i="12"/>
  <c r="O32" i="12"/>
  <c r="M33" i="12"/>
  <c r="Q33" i="12"/>
  <c r="G34" i="12"/>
  <c r="O35" i="12"/>
  <c r="N36" i="12"/>
  <c r="M37" i="12"/>
  <c r="O38" i="12"/>
  <c r="N39" i="12"/>
  <c r="R39" i="12"/>
  <c r="M40" i="12"/>
  <c r="Q40" i="12"/>
  <c r="G41" i="12"/>
  <c r="P41" i="12"/>
  <c r="O42" i="12"/>
  <c r="P28" i="12"/>
  <c r="N30" i="12"/>
  <c r="P32" i="12"/>
  <c r="N33" i="12"/>
  <c r="R33" i="12"/>
  <c r="P35" i="12"/>
  <c r="N37" i="12"/>
  <c r="P38" i="12"/>
  <c r="N40" i="12"/>
  <c r="P42" i="12"/>
  <c r="M28" i="12"/>
  <c r="G29" i="12"/>
  <c r="N31" i="12"/>
  <c r="N34" i="12"/>
  <c r="M35" i="12"/>
  <c r="M38" i="12"/>
  <c r="N41" i="12"/>
  <c r="G42" i="11"/>
  <c r="G32" i="11"/>
  <c r="K28" i="11"/>
  <c r="J28" i="11" s="1"/>
  <c r="O29" i="11"/>
  <c r="M29" i="11"/>
  <c r="Q38" i="11"/>
  <c r="M38" i="11"/>
  <c r="P38" i="11"/>
  <c r="R38" i="11"/>
  <c r="I39" i="11"/>
  <c r="P39" i="11" s="1"/>
  <c r="N29" i="11"/>
  <c r="M32" i="11"/>
  <c r="P32" i="11"/>
  <c r="K33" i="11"/>
  <c r="J33" i="11" s="1"/>
  <c r="G37" i="11"/>
  <c r="O39" i="11"/>
  <c r="M39" i="11"/>
  <c r="Q28" i="11"/>
  <c r="M28" i="11"/>
  <c r="P28" i="11"/>
  <c r="O28" i="11"/>
  <c r="Q29" i="11"/>
  <c r="G30" i="11"/>
  <c r="G31" i="11"/>
  <c r="N32" i="11"/>
  <c r="I35" i="11"/>
  <c r="R35" i="11" s="1"/>
  <c r="I36" i="11"/>
  <c r="R36" i="11" s="1"/>
  <c r="N39" i="11"/>
  <c r="M42" i="11"/>
  <c r="P42" i="11"/>
  <c r="R28" i="11"/>
  <c r="R29" i="11"/>
  <c r="O32" i="11"/>
  <c r="Q35" i="11"/>
  <c r="M35" i="11"/>
  <c r="P35" i="11"/>
  <c r="P36" i="11"/>
  <c r="O36" i="11"/>
  <c r="M36" i="11"/>
  <c r="O38" i="11"/>
  <c r="Q39" i="11"/>
  <c r="G40" i="11"/>
  <c r="G41" i="11"/>
  <c r="N42" i="11"/>
  <c r="N30" i="11"/>
  <c r="N33" i="11"/>
  <c r="R33" i="11"/>
  <c r="N37" i="11"/>
  <c r="N40" i="11"/>
  <c r="G29" i="11"/>
  <c r="N31" i="11"/>
  <c r="N34" i="11"/>
  <c r="N41" i="11"/>
  <c r="G39" i="10"/>
  <c r="H39" i="10"/>
  <c r="G40" i="10"/>
  <c r="H40" i="10"/>
  <c r="G41" i="10"/>
  <c r="H41" i="10"/>
  <c r="G42" i="10"/>
  <c r="H42" i="10"/>
  <c r="Q42" i="10" s="1"/>
  <c r="H38" i="10"/>
  <c r="G38" i="10"/>
  <c r="G34" i="10"/>
  <c r="H34" i="10"/>
  <c r="G35" i="10"/>
  <c r="H35" i="10"/>
  <c r="G36" i="10"/>
  <c r="H36" i="10"/>
  <c r="G37" i="10"/>
  <c r="H37" i="10"/>
  <c r="Q37" i="10" s="1"/>
  <c r="H33" i="10"/>
  <c r="G33" i="10"/>
  <c r="H29" i="10"/>
  <c r="H30" i="10"/>
  <c r="H31" i="10"/>
  <c r="H32" i="10"/>
  <c r="Q32" i="10" s="1"/>
  <c r="H28" i="10"/>
  <c r="G29" i="10"/>
  <c r="G30" i="10"/>
  <c r="G31" i="10"/>
  <c r="G32" i="10"/>
  <c r="G28" i="10"/>
  <c r="K37" i="13" l="1"/>
  <c r="J37" i="13" s="1"/>
  <c r="K37" i="12"/>
  <c r="J37" i="12" s="1"/>
  <c r="I42" i="12"/>
  <c r="R42" i="12" s="1"/>
  <c r="K33" i="13"/>
  <c r="J33" i="13" s="1"/>
  <c r="K34" i="11"/>
  <c r="J34" i="11" s="1"/>
  <c r="K30" i="13"/>
  <c r="J30" i="13" s="1"/>
  <c r="K29" i="13"/>
  <c r="J29" i="13" s="1"/>
  <c r="I29" i="13"/>
  <c r="P29" i="13" s="1"/>
  <c r="K28" i="13"/>
  <c r="J28" i="13" s="1"/>
  <c r="I28" i="13"/>
  <c r="N28" i="13" s="1"/>
  <c r="I31" i="13"/>
  <c r="R31" i="13" s="1"/>
  <c r="K31" i="13"/>
  <c r="J31" i="13" s="1"/>
  <c r="I32" i="13"/>
  <c r="R32" i="13" s="1"/>
  <c r="K32" i="13"/>
  <c r="J32" i="13" s="1"/>
  <c r="I34" i="13"/>
  <c r="P34" i="13" s="1"/>
  <c r="K34" i="13"/>
  <c r="J34" i="13" s="1"/>
  <c r="I41" i="13"/>
  <c r="R41" i="13" s="1"/>
  <c r="K41" i="13"/>
  <c r="J41" i="13" s="1"/>
  <c r="I30" i="12"/>
  <c r="R30" i="12" s="1"/>
  <c r="K30" i="12"/>
  <c r="J30" i="12" s="1"/>
  <c r="I34" i="12"/>
  <c r="P34" i="12" s="1"/>
  <c r="K34" i="12"/>
  <c r="J34" i="12" s="1"/>
  <c r="K29" i="12"/>
  <c r="J29" i="12" s="1"/>
  <c r="I29" i="12"/>
  <c r="P29" i="12" s="1"/>
  <c r="I41" i="12"/>
  <c r="R41" i="12" s="1"/>
  <c r="K41" i="12"/>
  <c r="J41" i="12" s="1"/>
  <c r="I31" i="12"/>
  <c r="R31" i="12" s="1"/>
  <c r="K31" i="12"/>
  <c r="J31" i="12" s="1"/>
  <c r="I40" i="12"/>
  <c r="R40" i="12" s="1"/>
  <c r="K40" i="12"/>
  <c r="J40" i="12" s="1"/>
  <c r="I30" i="11"/>
  <c r="R30" i="11" s="1"/>
  <c r="K30" i="11"/>
  <c r="J30" i="11" s="1"/>
  <c r="I41" i="11"/>
  <c r="R41" i="11" s="1"/>
  <c r="K41" i="11"/>
  <c r="J41" i="11" s="1"/>
  <c r="I40" i="11"/>
  <c r="R40" i="11" s="1"/>
  <c r="K40" i="11"/>
  <c r="J40" i="11" s="1"/>
  <c r="K32" i="11"/>
  <c r="J32" i="11" s="1"/>
  <c r="I32" i="11"/>
  <c r="R32" i="11" s="1"/>
  <c r="K29" i="11"/>
  <c r="J29" i="11" s="1"/>
  <c r="I29" i="11"/>
  <c r="P29" i="11" s="1"/>
  <c r="I31" i="11"/>
  <c r="R31" i="11" s="1"/>
  <c r="K31" i="11"/>
  <c r="J31" i="11" s="1"/>
  <c r="I37" i="11"/>
  <c r="R37" i="11" s="1"/>
  <c r="K37" i="11"/>
  <c r="J37" i="11" s="1"/>
  <c r="K42" i="11"/>
  <c r="J42" i="11" s="1"/>
  <c r="I42" i="11"/>
  <c r="R42" i="11" s="1"/>
  <c r="C39" i="10"/>
  <c r="C40" i="10"/>
  <c r="C41" i="10"/>
  <c r="C42" i="10"/>
  <c r="M42" i="10" s="1"/>
  <c r="C38" i="10"/>
  <c r="C34" i="10"/>
  <c r="C35" i="10"/>
  <c r="C36" i="10"/>
  <c r="C37" i="10"/>
  <c r="C33" i="10"/>
  <c r="C29" i="10"/>
  <c r="R29" i="10" s="1"/>
  <c r="C31" i="10"/>
  <c r="C32" i="10"/>
  <c r="M28" i="10"/>
  <c r="I42" i="10"/>
  <c r="R42" i="10" s="1"/>
  <c r="I36" i="10"/>
  <c r="I35" i="10"/>
  <c r="I34" i="10"/>
  <c r="I33" i="10"/>
  <c r="K30" i="10"/>
  <c r="J30" i="10" s="1"/>
  <c r="I29" i="10"/>
  <c r="S13" i="10"/>
  <c r="T13" i="10" s="1"/>
  <c r="Q13" i="10"/>
  <c r="R13" i="10" s="1"/>
  <c r="U13" i="10" s="1"/>
  <c r="U12" i="10"/>
  <c r="T12" i="10"/>
  <c r="S12" i="10"/>
  <c r="S10" i="10"/>
  <c r="T10" i="10" s="1"/>
  <c r="Q10" i="10"/>
  <c r="R10" i="10" s="1"/>
  <c r="U10" i="10" s="1"/>
  <c r="U9" i="10"/>
  <c r="T9" i="10"/>
  <c r="S9" i="10"/>
  <c r="S7" i="10"/>
  <c r="T7" i="10" s="1"/>
  <c r="Q7" i="10"/>
  <c r="R7" i="10" s="1"/>
  <c r="U7" i="10" s="1"/>
  <c r="U6" i="10"/>
  <c r="T6" i="10"/>
  <c r="S6" i="10"/>
  <c r="M34" i="10" l="1"/>
  <c r="Q34" i="10"/>
  <c r="R34" i="10"/>
  <c r="O41" i="10"/>
  <c r="Q41" i="10"/>
  <c r="Q31" i="10"/>
  <c r="Q38" i="10"/>
  <c r="R38" i="10"/>
  <c r="Q40" i="10"/>
  <c r="Q36" i="10"/>
  <c r="R36" i="10"/>
  <c r="O39" i="10"/>
  <c r="R39" i="10"/>
  <c r="Q39" i="10"/>
  <c r="M33" i="10"/>
  <c r="R33" i="10"/>
  <c r="Q33" i="10"/>
  <c r="P35" i="10"/>
  <c r="R35" i="10"/>
  <c r="Q35" i="10"/>
  <c r="M32" i="10"/>
  <c r="Q29" i="10"/>
  <c r="N29" i="10"/>
  <c r="N30" i="10"/>
  <c r="M30" i="10"/>
  <c r="Q30" i="10"/>
  <c r="O30" i="10"/>
  <c r="P30" i="10"/>
  <c r="M41" i="10"/>
  <c r="N34" i="10"/>
  <c r="P29" i="10"/>
  <c r="M29" i="10"/>
  <c r="O29" i="10"/>
  <c r="O38" i="10"/>
  <c r="M39" i="10"/>
  <c r="N41" i="10"/>
  <c r="M38" i="10"/>
  <c r="K41" i="10"/>
  <c r="J41" i="10" s="1"/>
  <c r="P34" i="10"/>
  <c r="O33" i="10"/>
  <c r="P33" i="10"/>
  <c r="O34" i="10"/>
  <c r="K36" i="10"/>
  <c r="J36" i="10" s="1"/>
  <c r="K32" i="10"/>
  <c r="J32" i="10" s="1"/>
  <c r="M35" i="10"/>
  <c r="M40" i="10"/>
  <c r="N35" i="10"/>
  <c r="K37" i="10"/>
  <c r="J37" i="10" s="1"/>
  <c r="O35" i="10"/>
  <c r="O40" i="10"/>
  <c r="K31" i="10"/>
  <c r="J31" i="10" s="1"/>
  <c r="M31" i="10"/>
  <c r="K34" i="10"/>
  <c r="J34" i="10" s="1"/>
  <c r="K38" i="10"/>
  <c r="J38" i="10" s="1"/>
  <c r="K29" i="10"/>
  <c r="J29" i="10" s="1"/>
  <c r="O31" i="10"/>
  <c r="I38" i="10"/>
  <c r="P38" i="10" s="1"/>
  <c r="O42" i="10"/>
  <c r="P42" i="10"/>
  <c r="N42" i="10"/>
  <c r="M36" i="10"/>
  <c r="N36" i="10"/>
  <c r="M37" i="10"/>
  <c r="O36" i="10"/>
  <c r="P36" i="10"/>
  <c r="O37" i="10"/>
  <c r="N33" i="10"/>
  <c r="O32" i="10"/>
  <c r="Q28" i="10"/>
  <c r="O28" i="10"/>
  <c r="K28" i="10"/>
  <c r="J28" i="10" s="1"/>
  <c r="K42" i="10"/>
  <c r="J42" i="10" s="1"/>
  <c r="I31" i="10"/>
  <c r="R31" i="10" s="1"/>
  <c r="K35" i="10"/>
  <c r="J35" i="10" s="1"/>
  <c r="K39" i="10"/>
  <c r="J39" i="10" s="1"/>
  <c r="I32" i="10"/>
  <c r="R32" i="10" s="1"/>
  <c r="K40" i="10"/>
  <c r="J40" i="10" s="1"/>
  <c r="K33" i="10"/>
  <c r="J33" i="10" s="1"/>
  <c r="I40" i="10"/>
  <c r="R40" i="10" s="1"/>
  <c r="I28" i="10"/>
  <c r="N28" i="10" s="1"/>
  <c r="I37" i="10"/>
  <c r="I41" i="10"/>
  <c r="R41" i="10" s="1"/>
  <c r="I30" i="10"/>
  <c r="R30" i="10" s="1"/>
  <c r="I39" i="10"/>
  <c r="N37" i="10" l="1"/>
  <c r="R37" i="10"/>
  <c r="N32" i="10"/>
  <c r="P39" i="10"/>
  <c r="N39" i="10"/>
  <c r="P32" i="10"/>
  <c r="P37" i="10"/>
  <c r="R28" i="10"/>
  <c r="P31" i="10"/>
  <c r="P41" i="10"/>
  <c r="N31" i="10"/>
  <c r="P28" i="10"/>
  <c r="N40" i="10"/>
  <c r="P40" i="10"/>
  <c r="N38" i="10"/>
</calcChain>
</file>

<file path=xl/sharedStrings.xml><?xml version="1.0" encoding="utf-8"?>
<sst xmlns="http://schemas.openxmlformats.org/spreadsheetml/2006/main" count="1491" uniqueCount="194">
  <si>
    <t>Certificado</t>
  </si>
  <si>
    <t>Código</t>
  </si>
  <si>
    <t>RBC</t>
  </si>
  <si>
    <t>Medição da resistência ôhmica do enrolamento:</t>
  </si>
  <si>
    <t>Verificar a elevação de temperatura média dos enrolamentos e pontos quentes do TC sob condições de operação que produzam as perdas máximas admissíveis.</t>
  </si>
  <si>
    <t>O ensaio de elevação de temperatura deve ser realizado de forma a reproduzir as perdas que influenciam na elevação de temperatura em condições normais de operação.</t>
  </si>
  <si>
    <t>12.1.3.1 - Aplicação da corrente de ensaio</t>
  </si>
  <si>
    <t>12.1.3.2 - Determinação da resistência a frio</t>
  </si>
  <si>
    <t>A aplicação da corrente pode ser feita por meio primário, com os secundários conectados ás cargas nominais, ou por meio de um ou mais secundários, com o primário e os secundários não alimentados curto-circuitados.</t>
  </si>
  <si>
    <t>O ensaio dever ser realizado com a circulação da corrente térmica contínua nominal em todos os seus enrolamentos.</t>
  </si>
  <si>
    <t>Para medição da resistência ôhmica do enrolamento utilizou-se um miliôhmimetro (ponte de Wheatstone) ligado nos terminais do chicote secundário nos cabos identificados sob condições ambientais definidas.</t>
  </si>
  <si>
    <t>O tempo necessário para a estabilização dos valores de corrente e tensão (método da queda de tensão) ou do valor da resistência (método ponte) deve ser registrado após a medição da resistênica, no início do ensaio. Este mesmo intervalo de tempo também deve ser considerado para efetuar as primeiras leituras no final do ensaio.</t>
  </si>
  <si>
    <t>O TC deve permanecer energizado até que a taxa de variação da elevação de temperatura não exceda 1 °C por hora durante três leituras consecutivas de elevação de temperatura.</t>
  </si>
  <si>
    <t>CLIENTE</t>
  </si>
  <si>
    <t>Objeto em Teste:</t>
  </si>
  <si>
    <t>Tipo:</t>
  </si>
  <si>
    <t>DADOS TÉCNICOS</t>
  </si>
  <si>
    <t>O TC deve atender aos requisitos de 5.6, não excedendo os valores de elevação de temperatura especificados na Tabela 12 da NBR 6856.</t>
  </si>
  <si>
    <t>12.1.3 - MÉTODO DE ENSAIO</t>
  </si>
  <si>
    <t>12.1.2 - PROCEDIMENTO</t>
  </si>
  <si>
    <t>12.1.1 - OBJETIVO</t>
  </si>
  <si>
    <t>PROCEDIMENTO DE ENSAIO</t>
  </si>
  <si>
    <t>A aplicação da corrente de ensaio pode ser feita ao enrolamento primário estando os enrolamentos secundários curto-circuitados ou conectados a instrumentos de medição, ou ainda pode-se alimentar enrolamentos secundários curto-circuitados ou conectados a instrumentos de medição.
Em caso de aplicação de corrente através de enrolamentos secundários, a corrente primária deve ser verificada por meio de sistema de medição independente ao TC, ou ainda por enrolamentos secundários que não estejam sendo alimentados pela fonte de corrente.</t>
  </si>
  <si>
    <t>EXECUÇÃO E ACOMPANHAMENTO</t>
  </si>
  <si>
    <t>SERTA Transformadores</t>
  </si>
  <si>
    <t xml:space="preserve">Endereço: </t>
  </si>
  <si>
    <t>RESPONSÁVEL TÉCNICO EM EXERCÍCIO</t>
  </si>
  <si>
    <t>1 - VERIFICAÇÃO DA MARCAÇÃO DOS TERMINAIS E POLARIDADE</t>
  </si>
  <si>
    <t>2 - EXATIDÃO</t>
  </si>
  <si>
    <t>FCR</t>
  </si>
  <si>
    <t>E %</t>
  </si>
  <si>
    <t>( VA )</t>
  </si>
  <si>
    <t>Ensaio (A)</t>
  </si>
  <si>
    <t>Medições Corrigidas</t>
  </si>
  <si>
    <t>Leituras</t>
  </si>
  <si>
    <t>Carga</t>
  </si>
  <si>
    <t>Relação /</t>
  </si>
  <si>
    <t>Erro Relação Inf</t>
  </si>
  <si>
    <t>Erro Relação Sup</t>
  </si>
  <si>
    <t>Clásse</t>
  </si>
  <si>
    <t>Fatores de Correção</t>
  </si>
  <si>
    <t xml:space="preserve">Temperatura Ambiente: </t>
  </si>
  <si>
    <t xml:space="preserve">Umidade: </t>
  </si>
  <si>
    <t>Condições Ambientais Para Ensaio</t>
  </si>
  <si>
    <t>Data da Emissão</t>
  </si>
  <si>
    <t xml:space="preserve">Nome: </t>
  </si>
  <si>
    <t>CEP:</t>
  </si>
  <si>
    <t>RESPONSÁVEIS EXECUÇÃO</t>
  </si>
  <si>
    <t>Eng. Daniel Costa Monteiro - SERTA</t>
  </si>
  <si>
    <t>Umidade medida (%):</t>
  </si>
  <si>
    <t>Ángulo</t>
  </si>
  <si>
    <t>RELATÓRIO:</t>
  </si>
  <si>
    <t>FABRICANTE</t>
  </si>
  <si>
    <t>Classe de Tensão (kV):</t>
  </si>
  <si>
    <t>Isolamento Nominal (kV):</t>
  </si>
  <si>
    <t>Participantes do Ensaio:</t>
  </si>
  <si>
    <t>A reprodução deste documento não pode ser parcial e depende da aprovação da SERTA Transformadores.
Os resultados apresentados neste documento referem-se exclusivamente as amostras submetidas ao(s) ensaios(s) nas condições especificadas, não sendo extensivos a quaisquer lotes;
A SERTA Transformadores manterá o original deste documento arquivado em meio eletrônico por um período de cinco anos.</t>
  </si>
  <si>
    <t xml:space="preserve">Antes de imprimir, pense em sua responsabilidade e compromisso com meio ambiente.           </t>
  </si>
  <si>
    <t>RASTREABILIDADE METROLÓGICA</t>
  </si>
  <si>
    <t>Instrumento</t>
  </si>
  <si>
    <t>Fabricante</t>
  </si>
  <si>
    <t>Data Calibração</t>
  </si>
  <si>
    <t>Data Próxima Calibração</t>
  </si>
  <si>
    <t>Temperatura Ambiente (ºC):</t>
  </si>
  <si>
    <t>MEDIÇÕES E RESULTADOS</t>
  </si>
  <si>
    <t>Nº SÉRIE:</t>
  </si>
  <si>
    <t>Data do Ensaio</t>
  </si>
  <si>
    <t>Incerteza</t>
  </si>
  <si>
    <t>Relação Nominal TC:</t>
  </si>
  <si>
    <t>Fator Térmico:</t>
  </si>
  <si>
    <t>b</t>
  </si>
  <si>
    <t>Carga para TC</t>
  </si>
  <si>
    <t>Medidor Relação de TC</t>
  </si>
  <si>
    <t xml:space="preserve">REGISTRO DE LEITURAS EXATIDÃO TC </t>
  </si>
  <si>
    <t>A Ensaio (%)</t>
  </si>
  <si>
    <t>TC Padrão CE</t>
  </si>
  <si>
    <t>Classe de Exatidão:</t>
  </si>
  <si>
    <t>Carga (VA):</t>
  </si>
  <si>
    <t>: Técnico Laboratório - SERTA</t>
  </si>
  <si>
    <t>33.040-230</t>
  </si>
  <si>
    <t>IEC</t>
  </si>
  <si>
    <t>Termigrômetro</t>
  </si>
  <si>
    <t>Glauber</t>
  </si>
  <si>
    <t>Para determinar a polaridade e verificar as marcações dos terminais, fazemos a comparação com um TC de polaridade conhecida durante teste de exatidão e conferimos as identificações do equipamento se estão conforme a norma de referência ou solicitações especificas do cliente.</t>
  </si>
  <si>
    <t>FASE - Nº Série</t>
  </si>
  <si>
    <t>Coordenador Qualidade - SERTA</t>
  </si>
  <si>
    <t>EMISSÃO DE RELATÓRIOS DE ENSAIO</t>
  </si>
  <si>
    <t>FR0200
Rev: 00</t>
  </si>
  <si>
    <t>0,5S 1%</t>
  </si>
  <si>
    <t>0,5S 5%</t>
  </si>
  <si>
    <t>0,5S 20, 100 e 120%</t>
  </si>
  <si>
    <t>Pontos 0,5S 1%</t>
  </si>
  <si>
    <t>Pntos 0,5S 5%</t>
  </si>
  <si>
    <t>Pontos 0,5S 20, 100 e 120%</t>
  </si>
  <si>
    <t>RELATÓRIO ENSAIO DE EXATIDÃO TC E VERIFICAÇÃO DA MARCAÇÃO DOS TERMINAIS E POLARIDADE - IEC 0,5S</t>
  </si>
  <si>
    <t>COMERCIAL INGEOELECTRICA SAS</t>
  </si>
  <si>
    <t>Carrera. 21, 169-7, Oficina 201, BOGOTÁ DC &gt; CO</t>
  </si>
  <si>
    <t>Conjuntos de Medição</t>
  </si>
  <si>
    <t>CMT17110</t>
  </si>
  <si>
    <t>38/95/---</t>
  </si>
  <si>
    <t>1,5</t>
  </si>
  <si>
    <t>0,5S</t>
  </si>
  <si>
    <t>Normas de referência:</t>
  </si>
  <si>
    <t>NTC 5933:2012 - (IEC 81689-1:2007) - IEC 61869-2:2012 -</t>
  </si>
  <si>
    <t>IEC 61869-3:2011 - IEC 61869-2:2013</t>
  </si>
  <si>
    <t>Tec. Responsável Glauber Antonio Pires Soares- SERTA</t>
  </si>
  <si>
    <t>METRINS</t>
  </si>
  <si>
    <t>CE 516</t>
  </si>
  <si>
    <t>Não</t>
  </si>
  <si>
    <t>Rastreável</t>
  </si>
  <si>
    <t>Rastrável</t>
  </si>
  <si>
    <t>Documento eletrônico com assinatura digital. A autenticidade deste documento pode ser verificada através de envio de e-mail para: inspecao@sertaconjuntosdemedicao.com.br</t>
  </si>
  <si>
    <t>Verificamos a exatidão do TC pelo método comparativo, liga-se em série os primários do TC sob ensaio e TC padrão. A diferença entre as correntes secundárias é levada a um circuito em ponte adequado para fins de medição.
O ensaio é realizado nas correntes especificadas pela classe de exatidão.
Para esse ensaio não foi considerada a influência do TP no TC.</t>
  </si>
  <si>
    <t>Rua José Calixto, 200 - Santa Luzia - MG &gt; Brasil</t>
  </si>
  <si>
    <t>15ºC A 28ºC</t>
  </si>
  <si>
    <t>55% (+/- 20)</t>
  </si>
  <si>
    <t>0,02</t>
  </si>
  <si>
    <t>0,3</t>
  </si>
  <si>
    <t>082</t>
  </si>
  <si>
    <t>A - 25757/25/01</t>
  </si>
  <si>
    <t>B - 25757/25/01</t>
  </si>
  <si>
    <t>C - 25757/25/01</t>
  </si>
  <si>
    <t>A - 25757/25/03</t>
  </si>
  <si>
    <t>B - 25757/25/03</t>
  </si>
  <si>
    <t>C - 25757/25/03</t>
  </si>
  <si>
    <t>A - 25757/25/02</t>
  </si>
  <si>
    <t>B - 25757/25/02</t>
  </si>
  <si>
    <t>C - 25757/25/02</t>
  </si>
  <si>
    <t>A - 25757/25/04</t>
  </si>
  <si>
    <t>B - 25757/25/04</t>
  </si>
  <si>
    <t>C - 25757/25/04</t>
  </si>
  <si>
    <t>2:1/1%</t>
  </si>
  <si>
    <t>2:1/5%</t>
  </si>
  <si>
    <t>2:1/10%</t>
  </si>
  <si>
    <t>2:1/20%</t>
  </si>
  <si>
    <t>2:1/50%</t>
  </si>
  <si>
    <t>2:1/75%</t>
  </si>
  <si>
    <t>2:1/100%</t>
  </si>
  <si>
    <t>2:1/120%</t>
  </si>
  <si>
    <t>2:1/150%</t>
  </si>
  <si>
    <t>A - 25757/25/05</t>
  </si>
  <si>
    <t>B - 25757/25/05</t>
  </si>
  <si>
    <t>c - 25757/25/05</t>
  </si>
  <si>
    <t>A - 25757/25/06</t>
  </si>
  <si>
    <t>B - 25757/25/06</t>
  </si>
  <si>
    <t>C - 25757/25/06</t>
  </si>
  <si>
    <t>A - 25757/25/07</t>
  </si>
  <si>
    <t>B - 25757/25/07</t>
  </si>
  <si>
    <t>C - 25757/25/07</t>
  </si>
  <si>
    <t>A - 25757/25/08</t>
  </si>
  <si>
    <t>B - 25757/25/08</t>
  </si>
  <si>
    <t>C - 25757/25/08</t>
  </si>
  <si>
    <t>A - 25757/25/09</t>
  </si>
  <si>
    <t>B - 25757/25/09</t>
  </si>
  <si>
    <t>C - 25757/25/09</t>
  </si>
  <si>
    <t>A - 25757/25/10</t>
  </si>
  <si>
    <t>B - 25757/25/10</t>
  </si>
  <si>
    <t>C - 25757/25/10</t>
  </si>
  <si>
    <t>A - 25757/25/11</t>
  </si>
  <si>
    <t>B - 25757/25/11</t>
  </si>
  <si>
    <t>C - 25757/25/11</t>
  </si>
  <si>
    <t>A - 25757/25/12</t>
  </si>
  <si>
    <t>B - 25757/25/12</t>
  </si>
  <si>
    <t>C - 25757/25/12</t>
  </si>
  <si>
    <t>A - 25757/25/13</t>
  </si>
  <si>
    <t>B - 25757/25/13</t>
  </si>
  <si>
    <t>C - 25757/25/13</t>
  </si>
  <si>
    <t>A - 25757/25/14</t>
  </si>
  <si>
    <t>B - 25757/25/14</t>
  </si>
  <si>
    <t>C - 25757/25/14</t>
  </si>
  <si>
    <t>A - 25757/25/15</t>
  </si>
  <si>
    <t>B - 25757/25/15</t>
  </si>
  <si>
    <t>C - 25757/25/15</t>
  </si>
  <si>
    <t>A - 25757/25/16</t>
  </si>
  <si>
    <t>B - 25757/25/16</t>
  </si>
  <si>
    <t>C - 25757/25/16</t>
  </si>
  <si>
    <t>A - 25757/25/17</t>
  </si>
  <si>
    <t>B - 25757/25/17</t>
  </si>
  <si>
    <t>C - 25757/25/17</t>
  </si>
  <si>
    <t>A - 25757/25/18</t>
  </si>
  <si>
    <t>B - 25757/25/18</t>
  </si>
  <si>
    <t>C - 25757/25/18</t>
  </si>
  <si>
    <t>A - 25757/25/19</t>
  </si>
  <si>
    <t>B - 25757/25/19</t>
  </si>
  <si>
    <t>C - 25757/25/19</t>
  </si>
  <si>
    <t>A - 25757/25/20</t>
  </si>
  <si>
    <t>B - 25757/25/20</t>
  </si>
  <si>
    <t>C - 25757/25/20</t>
  </si>
  <si>
    <t>CE 156</t>
  </si>
  <si>
    <t>25757/25/0001 a 25757/25/0020</t>
  </si>
  <si>
    <t>RE25757 2025-01</t>
  </si>
  <si>
    <t>2/4:1</t>
  </si>
  <si>
    <t>METRUM</t>
  </si>
  <si>
    <t>CE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</si>
</sst>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dd/mm/yy;@"/>
    <numFmt numFmtId="168" formatCode="[$-416]mmm\-yy;@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11"/>
      <color rgb="FF0070C0"/>
      <name val="Arial"/>
      <family val="2"/>
    </font>
    <font>
      <b/>
      <sz val="8"/>
      <name val="Symbol"/>
      <family val="1"/>
      <charset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color rgb="FF0070C0"/>
      <name val="Arial"/>
      <family val="2"/>
    </font>
    <font>
      <i/>
      <sz val="14"/>
      <color rgb="FF0070C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9"/>
      <color rgb="FF0070C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3A4F7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</cellStyleXfs>
  <cellXfs count="208">
    <xf numFmtId="0" fontId="0" fillId="0" borderId="0" xfId="0"/>
    <xf numFmtId="11" fontId="21" fillId="2" borderId="0" xfId="1" applyNumberFormat="1" applyFont="1" applyFill="1" applyAlignment="1" applyProtection="1">
      <alignment vertical="center"/>
      <protection locked="0"/>
    </xf>
    <xf numFmtId="0" fontId="19" fillId="2" borderId="0" xfId="1" applyFont="1" applyFill="1" applyAlignment="1" applyProtection="1">
      <alignment vertical="center"/>
      <protection locked="0"/>
    </xf>
    <xf numFmtId="11" fontId="19" fillId="2" borderId="0" xfId="1" applyNumberFormat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0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vertical="center"/>
      <protection locked="0"/>
    </xf>
    <xf numFmtId="0" fontId="21" fillId="2" borderId="0" xfId="1" applyFont="1" applyFill="1" applyAlignment="1" applyProtection="1">
      <alignment horizontal="left" vertical="top"/>
      <protection locked="0"/>
    </xf>
    <xf numFmtId="0" fontId="25" fillId="2" borderId="0" xfId="1" applyFont="1" applyFill="1" applyAlignment="1" applyProtection="1">
      <alignment vertical="center"/>
      <protection locked="0"/>
    </xf>
    <xf numFmtId="0" fontId="1" fillId="2" borderId="0" xfId="1" applyFill="1" applyAlignment="1" applyProtection="1">
      <alignment horizontal="center" vertical="center"/>
      <protection locked="0"/>
    </xf>
    <xf numFmtId="0" fontId="27" fillId="2" borderId="0" xfId="1" applyFont="1" applyFill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center" vertical="center"/>
      <protection locked="0"/>
    </xf>
    <xf numFmtId="166" fontId="28" fillId="2" borderId="14" xfId="1" applyNumberFormat="1" applyFont="1" applyFill="1" applyBorder="1" applyAlignment="1" applyProtection="1">
      <alignment horizontal="center" vertical="center"/>
      <protection locked="0"/>
    </xf>
    <xf numFmtId="0" fontId="28" fillId="2" borderId="0" xfId="1" applyFont="1" applyFill="1" applyAlignment="1" applyProtection="1">
      <alignment horizontal="center" vertical="center"/>
      <protection locked="0"/>
    </xf>
    <xf numFmtId="165" fontId="28" fillId="2" borderId="0" xfId="1" applyNumberFormat="1" applyFont="1" applyFill="1" applyAlignment="1" applyProtection="1">
      <alignment horizontal="center" vertical="center"/>
      <protection locked="0"/>
    </xf>
    <xf numFmtId="0" fontId="31" fillId="2" borderId="14" xfId="1" applyFont="1" applyFill="1" applyBorder="1" applyAlignment="1" applyProtection="1">
      <alignment horizontal="center" vertical="center"/>
      <protection locked="0"/>
    </xf>
    <xf numFmtId="11" fontId="27" fillId="2" borderId="0" xfId="1" applyNumberFormat="1" applyFont="1" applyFill="1" applyAlignment="1" applyProtection="1">
      <alignment horizontal="center" vertical="center"/>
      <protection locked="0"/>
    </xf>
    <xf numFmtId="0" fontId="32" fillId="2" borderId="14" xfId="1" applyFont="1" applyFill="1" applyBorder="1" applyAlignment="1" applyProtection="1">
      <alignment horizontal="center" vertical="center"/>
      <protection locked="0"/>
    </xf>
    <xf numFmtId="0" fontId="32" fillId="2" borderId="0" xfId="1" applyFont="1" applyFill="1" applyAlignment="1" applyProtection="1">
      <alignment horizontal="center" vertical="center"/>
      <protection locked="0"/>
    </xf>
    <xf numFmtId="0" fontId="28" fillId="2" borderId="14" xfId="1" applyFont="1" applyFill="1" applyBorder="1" applyAlignment="1" applyProtection="1">
      <alignment horizontal="center" vertical="center"/>
      <protection locked="0"/>
    </xf>
    <xf numFmtId="49" fontId="28" fillId="2" borderId="0" xfId="1" applyNumberFormat="1" applyFont="1" applyFill="1" applyAlignment="1" applyProtection="1">
      <alignment horizontal="center" vertical="center"/>
      <protection locked="0"/>
    </xf>
    <xf numFmtId="0" fontId="27" fillId="2" borderId="14" xfId="1" applyFont="1" applyFill="1" applyBorder="1" applyAlignment="1" applyProtection="1">
      <alignment horizontal="center" vertical="center"/>
      <protection locked="0"/>
    </xf>
    <xf numFmtId="0" fontId="33" fillId="2" borderId="0" xfId="1" applyFont="1" applyFill="1" applyAlignment="1" applyProtection="1">
      <alignment horizontal="center" vertical="center"/>
      <protection locked="0"/>
    </xf>
    <xf numFmtId="0" fontId="27" fillId="2" borderId="19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 vertical="center"/>
      <protection locked="0"/>
    </xf>
    <xf numFmtId="0" fontId="34" fillId="34" borderId="10" xfId="1" applyFont="1" applyFill="1" applyBorder="1" applyAlignment="1" applyProtection="1">
      <alignment horizontal="center" vertical="center" wrapText="1"/>
      <protection locked="0"/>
    </xf>
    <xf numFmtId="0" fontId="19" fillId="2" borderId="0" xfId="1" applyFont="1" applyFill="1" applyAlignment="1" applyProtection="1">
      <alignment horizontal="left" vertical="top"/>
      <protection locked="0"/>
    </xf>
    <xf numFmtId="0" fontId="26" fillId="2" borderId="0" xfId="43" applyFont="1" applyFill="1" applyAlignment="1">
      <alignment vertical="top"/>
    </xf>
    <xf numFmtId="0" fontId="26" fillId="2" borderId="0" xfId="43" applyFont="1" applyFill="1" applyAlignment="1">
      <alignment vertical="center"/>
    </xf>
    <xf numFmtId="0" fontId="26" fillId="2" borderId="0" xfId="43" applyFont="1" applyFill="1" applyAlignment="1">
      <alignment horizontal="left" vertical="top"/>
    </xf>
    <xf numFmtId="0" fontId="26" fillId="2" borderId="20" xfId="43" applyFont="1" applyFill="1" applyBorder="1" applyAlignment="1">
      <alignment vertical="top"/>
    </xf>
    <xf numFmtId="0" fontId="26" fillId="2" borderId="11" xfId="43" applyFont="1" applyFill="1" applyBorder="1" applyAlignment="1">
      <alignment vertical="top"/>
    </xf>
    <xf numFmtId="0" fontId="26" fillId="2" borderId="13" xfId="43" applyFont="1" applyFill="1" applyBorder="1" applyAlignment="1">
      <alignment vertical="top"/>
    </xf>
    <xf numFmtId="0" fontId="26" fillId="2" borderId="14" xfId="43" applyFont="1" applyFill="1" applyBorder="1" applyAlignment="1">
      <alignment vertical="top"/>
    </xf>
    <xf numFmtId="0" fontId="21" fillId="2" borderId="13" xfId="1" applyFont="1" applyFill="1" applyBorder="1" applyProtection="1">
      <protection locked="0"/>
    </xf>
    <xf numFmtId="0" fontId="26" fillId="2" borderId="17" xfId="43" applyFont="1" applyFill="1" applyBorder="1" applyAlignment="1">
      <alignment vertical="top"/>
    </xf>
    <xf numFmtId="0" fontId="26" fillId="2" borderId="15" xfId="43" applyFont="1" applyFill="1" applyBorder="1" applyAlignment="1">
      <alignment vertical="top"/>
    </xf>
    <xf numFmtId="0" fontId="19" fillId="2" borderId="0" xfId="43" applyFont="1" applyFill="1" applyAlignment="1">
      <alignment vertical="top"/>
    </xf>
    <xf numFmtId="14" fontId="26" fillId="2" borderId="0" xfId="43" applyNumberFormat="1" applyFont="1" applyFill="1" applyAlignment="1">
      <alignment horizontal="center" vertical="top"/>
    </xf>
    <xf numFmtId="0" fontId="24" fillId="2" borderId="0" xfId="43" applyFont="1" applyFill="1" applyAlignment="1">
      <alignment vertical="center"/>
    </xf>
    <xf numFmtId="0" fontId="23" fillId="2" borderId="0" xfId="1" applyFont="1" applyFill="1" applyAlignment="1" applyProtection="1">
      <alignment vertical="center"/>
      <protection locked="0"/>
    </xf>
    <xf numFmtId="0" fontId="27" fillId="34" borderId="10" xfId="1" applyFont="1" applyFill="1" applyBorder="1" applyAlignment="1" applyProtection="1">
      <alignment horizontal="center" vertical="center"/>
      <protection locked="0"/>
    </xf>
    <xf numFmtId="0" fontId="34" fillId="2" borderId="10" xfId="1" applyFont="1" applyFill="1" applyBorder="1" applyAlignment="1" applyProtection="1">
      <alignment horizontal="center" vertical="center" wrapText="1"/>
      <protection locked="0"/>
    </xf>
    <xf numFmtId="0" fontId="27" fillId="2" borderId="10" xfId="1" applyFont="1" applyFill="1" applyBorder="1" applyAlignment="1" applyProtection="1">
      <alignment horizontal="center" vertical="center"/>
      <protection locked="0"/>
    </xf>
    <xf numFmtId="0" fontId="28" fillId="2" borderId="10" xfId="1" applyFont="1" applyFill="1" applyBorder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vertical="center"/>
      <protection locked="0"/>
    </xf>
    <xf numFmtId="0" fontId="22" fillId="0" borderId="0" xfId="1" applyFont="1" applyAlignment="1" applyProtection="1">
      <alignment vertical="center"/>
      <protection locked="0"/>
    </xf>
    <xf numFmtId="0" fontId="22" fillId="0" borderId="0" xfId="1" quotePrefix="1" applyFont="1" applyAlignment="1" applyProtection="1">
      <alignment vertical="center"/>
      <protection locked="0"/>
    </xf>
    <xf numFmtId="0" fontId="21" fillId="0" borderId="0" xfId="1" applyFont="1" applyAlignment="1" applyProtection="1">
      <alignment horizontal="right" vertical="center"/>
      <protection locked="0"/>
    </xf>
    <xf numFmtId="0" fontId="21" fillId="0" borderId="16" xfId="1" applyFont="1" applyBorder="1" applyAlignment="1" applyProtection="1">
      <alignment vertical="center"/>
      <protection locked="0"/>
    </xf>
    <xf numFmtId="0" fontId="22" fillId="0" borderId="16" xfId="1" applyFont="1" applyBorder="1" applyAlignment="1" applyProtection="1">
      <alignment vertical="center"/>
      <protection locked="0"/>
    </xf>
    <xf numFmtId="0" fontId="35" fillId="0" borderId="16" xfId="1" quotePrefix="1" applyFont="1" applyBorder="1" applyAlignment="1" applyProtection="1">
      <alignment horizontal="center" vertical="center"/>
      <protection locked="0"/>
    </xf>
    <xf numFmtId="0" fontId="21" fillId="0" borderId="16" xfId="1" applyFont="1" applyBorder="1" applyAlignment="1" applyProtection="1">
      <alignment horizontal="right" vertical="center"/>
      <protection locked="0"/>
    </xf>
    <xf numFmtId="14" fontId="35" fillId="0" borderId="16" xfId="1" applyNumberFormat="1" applyFont="1" applyBorder="1" applyAlignment="1" applyProtection="1">
      <alignment horizontal="center" vertical="center"/>
      <protection locked="0"/>
    </xf>
    <xf numFmtId="0" fontId="26" fillId="35" borderId="0" xfId="1" applyFont="1" applyFill="1" applyAlignment="1" applyProtection="1">
      <alignment vertical="center"/>
      <protection locked="0"/>
    </xf>
    <xf numFmtId="0" fontId="20" fillId="2" borderId="0" xfId="1" applyFont="1" applyFill="1" applyProtection="1">
      <protection locked="0"/>
    </xf>
    <xf numFmtId="0" fontId="20" fillId="2" borderId="0" xfId="1" applyFont="1" applyFill="1" applyAlignment="1" applyProtection="1">
      <alignment horizontal="left"/>
      <protection locked="0"/>
    </xf>
    <xf numFmtId="0" fontId="22" fillId="2" borderId="0" xfId="1" applyFont="1" applyFill="1" applyAlignment="1" applyProtection="1">
      <alignment vertical="center"/>
      <protection locked="0"/>
    </xf>
    <xf numFmtId="0" fontId="25" fillId="2" borderId="0" xfId="1" applyFont="1" applyFill="1" applyAlignment="1" applyProtection="1">
      <alignment horizontal="left" vertical="center"/>
      <protection locked="0"/>
    </xf>
    <xf numFmtId="0" fontId="36" fillId="2" borderId="0" xfId="1" applyFont="1" applyFill="1" applyAlignment="1" applyProtection="1">
      <alignment horizontal="center" vertical="center"/>
      <protection locked="0"/>
    </xf>
    <xf numFmtId="0" fontId="22" fillId="2" borderId="0" xfId="1" applyFont="1" applyFill="1" applyAlignment="1" applyProtection="1">
      <alignment horizontal="left" vertical="center"/>
      <protection locked="0"/>
    </xf>
    <xf numFmtId="0" fontId="21" fillId="0" borderId="0" xfId="1" applyFont="1" applyProtection="1">
      <protection locked="0"/>
    </xf>
    <xf numFmtId="0" fontId="34" fillId="34" borderId="19" xfId="1" applyFont="1" applyFill="1" applyBorder="1" applyAlignment="1" applyProtection="1">
      <alignment horizontal="center" vertical="center" wrapText="1"/>
      <protection locked="0"/>
    </xf>
    <xf numFmtId="164" fontId="38" fillId="2" borderId="10" xfId="1" applyNumberFormat="1" applyFont="1" applyFill="1" applyBorder="1" applyAlignment="1" applyProtection="1">
      <alignment horizontal="center" vertical="center"/>
      <protection locked="0"/>
    </xf>
    <xf numFmtId="0" fontId="34" fillId="2" borderId="10" xfId="1" applyFont="1" applyFill="1" applyBorder="1" applyAlignment="1" applyProtection="1">
      <alignment horizontal="center" vertical="center"/>
      <protection locked="0"/>
    </xf>
    <xf numFmtId="0" fontId="33" fillId="2" borderId="0" xfId="1" applyFont="1" applyFill="1" applyAlignment="1" applyProtection="1">
      <alignment horizontal="right" vertical="center"/>
      <protection locked="0"/>
    </xf>
    <xf numFmtId="49" fontId="29" fillId="2" borderId="10" xfId="1" applyNumberFormat="1" applyFont="1" applyFill="1" applyBorder="1" applyAlignment="1" applyProtection="1">
      <alignment horizontal="center" vertical="center"/>
      <protection locked="0"/>
    </xf>
    <xf numFmtId="0" fontId="27" fillId="2" borderId="20" xfId="1" applyFont="1" applyFill="1" applyBorder="1" applyAlignment="1" applyProtection="1">
      <alignment horizontal="center" vertical="center"/>
      <protection locked="0"/>
    </xf>
    <xf numFmtId="0" fontId="27" fillId="2" borderId="11" xfId="1" applyFont="1" applyFill="1" applyBorder="1" applyAlignment="1" applyProtection="1">
      <alignment horizontal="left" vertical="center"/>
      <protection locked="0"/>
    </xf>
    <xf numFmtId="0" fontId="22" fillId="2" borderId="0" xfId="1" applyFont="1" applyFill="1" applyAlignment="1" applyProtection="1">
      <alignment horizontal="right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9" fillId="2" borderId="0" xfId="1" applyFont="1" applyFill="1" applyProtection="1">
      <protection locked="0"/>
    </xf>
    <xf numFmtId="49" fontId="22" fillId="2" borderId="0" xfId="1" quotePrefix="1" applyNumberFormat="1" applyFont="1" applyFill="1" applyAlignment="1" applyProtection="1">
      <alignment horizontal="left" vertical="center"/>
      <protection locked="0"/>
    </xf>
    <xf numFmtId="0" fontId="27" fillId="2" borderId="11" xfId="1" applyFont="1" applyFill="1" applyBorder="1" applyAlignment="1" applyProtection="1">
      <alignment horizontal="center" vertical="center"/>
      <protection locked="0"/>
    </xf>
    <xf numFmtId="0" fontId="27" fillId="2" borderId="25" xfId="1" applyFont="1" applyFill="1" applyBorder="1" applyAlignment="1" applyProtection="1">
      <alignment horizontal="center" vertical="center"/>
      <protection locked="0"/>
    </xf>
    <xf numFmtId="0" fontId="27" fillId="2" borderId="13" xfId="1" applyFont="1" applyFill="1" applyBorder="1" applyAlignment="1" applyProtection="1">
      <alignment horizontal="center" vertical="center"/>
      <protection locked="0"/>
    </xf>
    <xf numFmtId="0" fontId="30" fillId="2" borderId="10" xfId="1" applyFont="1" applyFill="1" applyBorder="1" applyAlignment="1" applyProtection="1">
      <alignment horizontal="center" vertical="center"/>
      <protection locked="0"/>
    </xf>
    <xf numFmtId="0" fontId="30" fillId="0" borderId="10" xfId="1" applyFont="1" applyBorder="1" applyAlignment="1" applyProtection="1">
      <alignment horizontal="center" vertical="center" wrapText="1"/>
      <protection locked="0"/>
    </xf>
    <xf numFmtId="14" fontId="30" fillId="0" borderId="10" xfId="1" applyNumberFormat="1" applyFont="1" applyBorder="1" applyAlignment="1" applyProtection="1">
      <alignment horizontal="center" vertical="center" wrapText="1"/>
      <protection locked="0"/>
    </xf>
    <xf numFmtId="168" fontId="30" fillId="0" borderId="10" xfId="1" applyNumberFormat="1" applyFont="1" applyBorder="1" applyAlignment="1" applyProtection="1">
      <alignment horizontal="center" vertical="center" wrapText="1"/>
      <protection locked="0"/>
    </xf>
    <xf numFmtId="0" fontId="30" fillId="2" borderId="18" xfId="1" applyFont="1" applyFill="1" applyBorder="1" applyAlignment="1" applyProtection="1">
      <alignment horizontal="left" vertical="center" indent="1"/>
      <protection locked="0"/>
    </xf>
    <xf numFmtId="0" fontId="30" fillId="2" borderId="18" xfId="1" applyFont="1" applyFill="1" applyBorder="1" applyAlignment="1" applyProtection="1">
      <alignment horizontal="left" vertical="center" indent="3"/>
      <protection locked="0"/>
    </xf>
    <xf numFmtId="0" fontId="30" fillId="2" borderId="19" xfId="1" applyFont="1" applyFill="1" applyBorder="1" applyAlignment="1" applyProtection="1">
      <alignment horizontal="left" vertical="center" indent="3"/>
      <protection locked="0"/>
    </xf>
    <xf numFmtId="0" fontId="30" fillId="2" borderId="19" xfId="1" applyFont="1" applyFill="1" applyBorder="1" applyAlignment="1" applyProtection="1">
      <alignment horizontal="left" vertical="center" wrapText="1"/>
      <protection locked="0"/>
    </xf>
    <xf numFmtId="164" fontId="38" fillId="2" borderId="26" xfId="1" applyNumberFormat="1" applyFont="1" applyFill="1" applyBorder="1" applyAlignment="1" applyProtection="1">
      <alignment horizontal="center" vertical="center"/>
      <protection locked="0"/>
    </xf>
    <xf numFmtId="165" fontId="38" fillId="2" borderId="10" xfId="1" applyNumberFormat="1" applyFont="1" applyFill="1" applyBorder="1" applyAlignment="1" applyProtection="1">
      <alignment horizontal="center" vertical="center"/>
      <protection locked="0"/>
    </xf>
    <xf numFmtId="165" fontId="38" fillId="2" borderId="26" xfId="1" applyNumberFormat="1" applyFont="1" applyFill="1" applyBorder="1" applyAlignment="1" applyProtection="1">
      <alignment horizontal="center" vertical="center"/>
      <protection locked="0"/>
    </xf>
    <xf numFmtId="0" fontId="22" fillId="36" borderId="0" xfId="1" applyFont="1" applyFill="1" applyAlignment="1" applyProtection="1">
      <alignment vertical="center"/>
      <protection locked="0"/>
    </xf>
    <xf numFmtId="0" fontId="21" fillId="36" borderId="0" xfId="1" applyFont="1" applyFill="1" applyAlignment="1" applyProtection="1">
      <alignment horizontal="left" vertical="center"/>
      <protection locked="0"/>
    </xf>
    <xf numFmtId="0" fontId="27" fillId="2" borderId="23" xfId="1" applyFont="1" applyFill="1" applyBorder="1" applyAlignment="1" applyProtection="1">
      <alignment horizontal="center" vertical="center"/>
      <protection locked="0"/>
    </xf>
    <xf numFmtId="0" fontId="34" fillId="2" borderId="22" xfId="1" applyFont="1" applyFill="1" applyBorder="1" applyAlignment="1" applyProtection="1">
      <alignment horizontal="center" vertical="center"/>
      <protection locked="0"/>
    </xf>
    <xf numFmtId="0" fontId="27" fillId="37" borderId="10" xfId="1" applyFont="1" applyFill="1" applyBorder="1" applyAlignment="1" applyProtection="1">
      <alignment horizontal="center" vertical="center"/>
      <protection locked="0"/>
    </xf>
    <xf numFmtId="0" fontId="27" fillId="38" borderId="10" xfId="1" applyFont="1" applyFill="1" applyBorder="1" applyAlignment="1" applyProtection="1">
      <alignment horizontal="center" vertical="center"/>
      <protection locked="0"/>
    </xf>
    <xf numFmtId="0" fontId="27" fillId="39" borderId="10" xfId="1" applyFont="1" applyFill="1" applyBorder="1" applyAlignment="1" applyProtection="1">
      <alignment horizontal="center" vertical="center"/>
      <protection locked="0"/>
    </xf>
    <xf numFmtId="0" fontId="31" fillId="2" borderId="22" xfId="1" applyFont="1" applyFill="1" applyBorder="1" applyAlignment="1" applyProtection="1">
      <alignment horizontal="center" vertical="center"/>
      <protection locked="0"/>
    </xf>
    <xf numFmtId="165" fontId="38" fillId="2" borderId="39" xfId="1" applyNumberFormat="1" applyFont="1" applyFill="1" applyBorder="1" applyAlignment="1" applyProtection="1">
      <alignment horizontal="center" vertical="center"/>
      <protection locked="0"/>
    </xf>
    <xf numFmtId="164" fontId="38" fillId="2" borderId="39" xfId="1" applyNumberFormat="1" applyFont="1" applyFill="1" applyBorder="1" applyAlignment="1" applyProtection="1">
      <alignment horizontal="center" vertical="center"/>
      <protection locked="0"/>
    </xf>
    <xf numFmtId="0" fontId="32" fillId="2" borderId="44" xfId="1" applyFont="1" applyFill="1" applyBorder="1" applyAlignment="1" applyProtection="1">
      <alignment vertical="center"/>
      <protection locked="0"/>
    </xf>
    <xf numFmtId="0" fontId="32" fillId="2" borderId="45" xfId="1" applyFont="1" applyFill="1" applyBorder="1" applyAlignment="1" applyProtection="1">
      <alignment horizontal="right" vertical="center"/>
      <protection locked="0"/>
    </xf>
    <xf numFmtId="0" fontId="31" fillId="2" borderId="42" xfId="1" applyFont="1" applyFill="1" applyBorder="1" applyAlignment="1" applyProtection="1">
      <alignment horizontal="center" vertical="center"/>
      <protection locked="0"/>
    </xf>
    <xf numFmtId="0" fontId="28" fillId="2" borderId="47" xfId="1" applyFont="1" applyFill="1" applyBorder="1" applyAlignment="1" applyProtection="1">
      <alignment vertical="center" wrapText="1"/>
      <protection locked="0"/>
    </xf>
    <xf numFmtId="49" fontId="29" fillId="2" borderId="48" xfId="1" applyNumberFormat="1" applyFont="1" applyFill="1" applyBorder="1" applyAlignment="1" applyProtection="1">
      <alignment horizontal="center" vertical="center"/>
      <protection locked="0"/>
    </xf>
    <xf numFmtId="0" fontId="28" fillId="2" borderId="41" xfId="1" applyFont="1" applyFill="1" applyBorder="1" applyAlignment="1" applyProtection="1">
      <alignment vertical="center" wrapText="1"/>
      <protection locked="0"/>
    </xf>
    <xf numFmtId="49" fontId="29" fillId="2" borderId="42" xfId="1" applyNumberFormat="1" applyFont="1" applyFill="1" applyBorder="1" applyAlignment="1" applyProtection="1">
      <alignment horizontal="center" vertical="center"/>
      <protection locked="0"/>
    </xf>
    <xf numFmtId="0" fontId="27" fillId="2" borderId="49" xfId="1" applyFont="1" applyFill="1" applyBorder="1" applyAlignment="1" applyProtection="1">
      <alignment horizontal="center" vertical="center"/>
      <protection locked="0"/>
    </xf>
    <xf numFmtId="0" fontId="27" fillId="2" borderId="48" xfId="1" applyFont="1" applyFill="1" applyBorder="1" applyAlignment="1" applyProtection="1">
      <alignment horizontal="center" vertical="center"/>
      <protection locked="0"/>
    </xf>
    <xf numFmtId="0" fontId="28" fillId="2" borderId="24" xfId="1" applyFont="1" applyFill="1" applyBorder="1" applyAlignment="1" applyProtection="1">
      <alignment horizontal="left" vertical="center"/>
      <protection locked="0"/>
    </xf>
    <xf numFmtId="0" fontId="27" fillId="2" borderId="42" xfId="1" applyFont="1" applyFill="1" applyBorder="1" applyAlignment="1" applyProtection="1">
      <alignment horizontal="center" vertical="center"/>
      <protection locked="0"/>
    </xf>
    <xf numFmtId="0" fontId="28" fillId="2" borderId="30" xfId="1" applyFont="1" applyFill="1" applyBorder="1" applyAlignment="1" applyProtection="1">
      <alignment vertical="center"/>
      <protection locked="0"/>
    </xf>
    <xf numFmtId="0" fontId="27" fillId="2" borderId="52" xfId="1" applyFont="1" applyFill="1" applyBorder="1" applyAlignment="1" applyProtection="1">
      <alignment horizontal="center" vertical="center"/>
      <protection locked="0"/>
    </xf>
    <xf numFmtId="0" fontId="27" fillId="2" borderId="53" xfId="1" applyFont="1" applyFill="1" applyBorder="1" applyAlignment="1" applyProtection="1">
      <alignment horizontal="center" vertical="center"/>
      <protection locked="0"/>
    </xf>
    <xf numFmtId="0" fontId="27" fillId="2" borderId="27" xfId="1" applyFont="1" applyFill="1" applyBorder="1" applyAlignment="1" applyProtection="1">
      <alignment horizontal="left" vertical="center"/>
      <protection locked="0"/>
    </xf>
    <xf numFmtId="0" fontId="27" fillId="2" borderId="28" xfId="1" applyFont="1" applyFill="1" applyBorder="1" applyAlignment="1" applyProtection="1">
      <alignment horizontal="center" vertical="center"/>
      <protection locked="0"/>
    </xf>
    <xf numFmtId="0" fontId="29" fillId="2" borderId="40" xfId="1" applyFont="1" applyFill="1" applyBorder="1" applyAlignment="1" applyProtection="1">
      <alignment horizontal="center" vertical="center"/>
      <protection locked="0"/>
    </xf>
    <xf numFmtId="0" fontId="27" fillId="2" borderId="30" xfId="1" applyFont="1" applyFill="1" applyBorder="1" applyAlignment="1" applyProtection="1">
      <alignment horizontal="left" vertical="center"/>
      <protection locked="0"/>
    </xf>
    <xf numFmtId="0" fontId="27" fillId="2" borderId="31" xfId="1" applyFont="1" applyFill="1" applyBorder="1" applyAlignment="1" applyProtection="1">
      <alignment horizontal="center" vertical="center"/>
      <protection locked="0"/>
    </xf>
    <xf numFmtId="0" fontId="29" fillId="2" borderId="43" xfId="1" applyFont="1" applyFill="1" applyBorder="1" applyAlignment="1" applyProtection="1">
      <alignment horizontal="center" vertical="center"/>
      <protection locked="0"/>
    </xf>
    <xf numFmtId="49" fontId="29" fillId="2" borderId="38" xfId="1" applyNumberFormat="1" applyFont="1" applyFill="1" applyBorder="1" applyAlignment="1" applyProtection="1">
      <alignment horizontal="left" vertical="center"/>
      <protection locked="0"/>
    </xf>
    <xf numFmtId="165" fontId="27" fillId="2" borderId="10" xfId="1" applyNumberFormat="1" applyFont="1" applyFill="1" applyBorder="1" applyAlignment="1" applyProtection="1">
      <alignment horizontal="center" vertical="center"/>
      <protection locked="0"/>
    </xf>
    <xf numFmtId="20" fontId="27" fillId="2" borderId="24" xfId="1" applyNumberFormat="1" applyFont="1" applyFill="1" applyBorder="1" applyAlignment="1" applyProtection="1">
      <alignment horizontal="center" vertical="center"/>
      <protection locked="0"/>
    </xf>
    <xf numFmtId="0" fontId="27" fillId="2" borderId="24" xfId="1" applyFont="1" applyFill="1" applyBorder="1" applyAlignment="1" applyProtection="1">
      <alignment horizontal="center" vertical="center"/>
      <protection locked="0"/>
    </xf>
    <xf numFmtId="167" fontId="38" fillId="2" borderId="54" xfId="1" applyNumberFormat="1" applyFont="1" applyFill="1" applyBorder="1" applyAlignment="1" applyProtection="1">
      <alignment horizontal="center" vertical="center"/>
      <protection locked="0"/>
    </xf>
    <xf numFmtId="0" fontId="29" fillId="2" borderId="21" xfId="1" applyFont="1" applyFill="1" applyBorder="1" applyAlignment="1" applyProtection="1">
      <alignment horizontal="center" vertical="center"/>
      <protection locked="0"/>
    </xf>
    <xf numFmtId="165" fontId="38" fillId="2" borderId="21" xfId="1" applyNumberFormat="1" applyFont="1" applyFill="1" applyBorder="1" applyAlignment="1" applyProtection="1">
      <alignment horizontal="center" vertical="center"/>
      <protection locked="0"/>
    </xf>
    <xf numFmtId="164" fontId="38" fillId="2" borderId="21" xfId="1" applyNumberFormat="1" applyFont="1" applyFill="1" applyBorder="1" applyAlignment="1" applyProtection="1">
      <alignment horizontal="center" vertical="center"/>
      <protection locked="0"/>
    </xf>
    <xf numFmtId="165" fontId="38" fillId="2" borderId="56" xfId="1" applyNumberFormat="1" applyFont="1" applyFill="1" applyBorder="1" applyAlignment="1" applyProtection="1">
      <alignment horizontal="center" vertical="center"/>
      <protection locked="0"/>
    </xf>
    <xf numFmtId="164" fontId="38" fillId="2" borderId="56" xfId="1" applyNumberFormat="1" applyFont="1" applyFill="1" applyBorder="1" applyAlignment="1" applyProtection="1">
      <alignment horizontal="center" vertical="center"/>
      <protection locked="0"/>
    </xf>
    <xf numFmtId="0" fontId="28" fillId="2" borderId="41" xfId="1" applyFont="1" applyFill="1" applyBorder="1" applyAlignment="1" applyProtection="1">
      <alignment horizontal="center" vertical="center"/>
      <protection locked="0"/>
    </xf>
    <xf numFmtId="165" fontId="39" fillId="2" borderId="39" xfId="1" applyNumberFormat="1" applyFont="1" applyFill="1" applyBorder="1" applyAlignment="1">
      <alignment horizontal="center" vertical="center"/>
    </xf>
    <xf numFmtId="165" fontId="1" fillId="2" borderId="40" xfId="1" applyNumberFormat="1" applyFill="1" applyBorder="1" applyAlignment="1">
      <alignment horizontal="center" vertical="center"/>
    </xf>
    <xf numFmtId="165" fontId="39" fillId="2" borderId="10" xfId="1" applyNumberFormat="1" applyFont="1" applyFill="1" applyBorder="1" applyAlignment="1">
      <alignment horizontal="center" vertical="center"/>
    </xf>
    <xf numFmtId="165" fontId="1" fillId="2" borderId="42" xfId="1" applyNumberFormat="1" applyFill="1" applyBorder="1" applyAlignment="1">
      <alignment horizontal="center" vertical="center"/>
    </xf>
    <xf numFmtId="165" fontId="39" fillId="2" borderId="56" xfId="1" applyNumberFormat="1" applyFont="1" applyFill="1" applyBorder="1" applyAlignment="1">
      <alignment horizontal="center" vertical="center"/>
    </xf>
    <xf numFmtId="165" fontId="1" fillId="2" borderId="55" xfId="1" applyNumberFormat="1" applyFill="1" applyBorder="1" applyAlignment="1">
      <alignment horizontal="center" vertical="center"/>
    </xf>
    <xf numFmtId="165" fontId="39" fillId="2" borderId="21" xfId="1" applyNumberFormat="1" applyFont="1" applyFill="1" applyBorder="1" applyAlignment="1">
      <alignment horizontal="center" vertical="center"/>
    </xf>
    <xf numFmtId="165" fontId="1" fillId="2" borderId="46" xfId="1" applyNumberFormat="1" applyFill="1" applyBorder="1" applyAlignment="1">
      <alignment horizontal="center" vertical="center"/>
    </xf>
    <xf numFmtId="165" fontId="39" fillId="2" borderId="26" xfId="1" applyNumberFormat="1" applyFont="1" applyFill="1" applyBorder="1" applyAlignment="1">
      <alignment horizontal="center" vertical="center"/>
    </xf>
    <xf numFmtId="165" fontId="1" fillId="2" borderId="43" xfId="1" applyNumberFormat="1" applyFill="1" applyBorder="1" applyAlignment="1">
      <alignment horizontal="center" vertical="center"/>
    </xf>
    <xf numFmtId="9" fontId="42" fillId="2" borderId="39" xfId="44" applyFont="1" applyFill="1" applyBorder="1" applyAlignment="1" applyProtection="1">
      <alignment horizontal="center" vertical="center"/>
    </xf>
    <xf numFmtId="0" fontId="42" fillId="2" borderId="39" xfId="1" applyFont="1" applyFill="1" applyBorder="1" applyAlignment="1">
      <alignment horizontal="center" vertical="center"/>
    </xf>
    <xf numFmtId="9" fontId="42" fillId="2" borderId="10" xfId="44" applyFont="1" applyFill="1" applyBorder="1" applyAlignment="1" applyProtection="1">
      <alignment horizontal="center" vertical="center"/>
    </xf>
    <xf numFmtId="0" fontId="42" fillId="2" borderId="10" xfId="1" applyFont="1" applyFill="1" applyBorder="1" applyAlignment="1">
      <alignment horizontal="center" vertical="center"/>
    </xf>
    <xf numFmtId="9" fontId="42" fillId="2" borderId="56" xfId="44" applyFont="1" applyFill="1" applyBorder="1" applyAlignment="1" applyProtection="1">
      <alignment horizontal="center" vertical="center"/>
    </xf>
    <xf numFmtId="0" fontId="42" fillId="2" borderId="56" xfId="1" applyFont="1" applyFill="1" applyBorder="1" applyAlignment="1">
      <alignment horizontal="center" vertical="center"/>
    </xf>
    <xf numFmtId="0" fontId="42" fillId="2" borderId="21" xfId="1" applyFont="1" applyFill="1" applyBorder="1" applyAlignment="1">
      <alignment horizontal="center" vertical="center"/>
    </xf>
    <xf numFmtId="0" fontId="42" fillId="2" borderId="26" xfId="1" applyFont="1" applyFill="1" applyBorder="1" applyAlignment="1">
      <alignment horizontal="center" vertical="center"/>
    </xf>
    <xf numFmtId="165" fontId="27" fillId="2" borderId="13" xfId="1" applyNumberFormat="1" applyFont="1" applyFill="1" applyBorder="1" applyAlignment="1" applyProtection="1">
      <alignment horizontal="center" vertical="center"/>
      <protection locked="0"/>
    </xf>
    <xf numFmtId="165" fontId="27" fillId="2" borderId="14" xfId="1" applyNumberFormat="1" applyFont="1" applyFill="1" applyBorder="1" applyAlignment="1" applyProtection="1">
      <alignment horizontal="center" vertical="center"/>
      <protection locked="0"/>
    </xf>
    <xf numFmtId="1" fontId="22" fillId="0" borderId="0" xfId="1" applyNumberFormat="1" applyFont="1" applyAlignment="1" applyProtection="1">
      <alignment vertical="center"/>
      <protection locked="0"/>
    </xf>
    <xf numFmtId="14" fontId="43" fillId="0" borderId="0" xfId="1" applyNumberFormat="1" applyFont="1" applyAlignment="1" applyProtection="1">
      <alignment horizontal="center" vertical="center"/>
      <protection locked="0"/>
    </xf>
    <xf numFmtId="0" fontId="21" fillId="36" borderId="0" xfId="1" applyFont="1" applyFill="1" applyAlignment="1" applyProtection="1">
      <alignment vertical="center"/>
      <protection locked="0"/>
    </xf>
    <xf numFmtId="0" fontId="22" fillId="36" borderId="0" xfId="1" applyFont="1" applyFill="1" applyAlignment="1" applyProtection="1">
      <alignment horizontal="left" vertical="center"/>
      <protection locked="0"/>
    </xf>
    <xf numFmtId="49" fontId="22" fillId="0" borderId="0" xfId="45" applyNumberFormat="1" applyFont="1" applyAlignment="1" applyProtection="1">
      <alignment horizontal="left" vertical="center"/>
      <protection locked="0"/>
    </xf>
    <xf numFmtId="0" fontId="25" fillId="2" borderId="17" xfId="1" applyFont="1" applyFill="1" applyBorder="1" applyAlignment="1" applyProtection="1">
      <alignment vertical="center"/>
      <protection locked="0"/>
    </xf>
    <xf numFmtId="2" fontId="27" fillId="2" borderId="42" xfId="1" applyNumberFormat="1" applyFont="1" applyFill="1" applyBorder="1" applyAlignment="1" applyProtection="1">
      <alignment horizontal="center" vertical="center"/>
      <protection locked="0"/>
    </xf>
    <xf numFmtId="2" fontId="27" fillId="2" borderId="57" xfId="1" applyNumberFormat="1" applyFont="1" applyFill="1" applyBorder="1" applyAlignment="1" applyProtection="1">
      <alignment horizontal="center" vertical="center"/>
      <protection locked="0"/>
    </xf>
    <xf numFmtId="49" fontId="29" fillId="2" borderId="0" xfId="1" applyNumberFormat="1" applyFont="1" applyFill="1" applyAlignment="1" applyProtection="1">
      <alignment horizontal="center" vertical="center"/>
      <protection locked="0"/>
    </xf>
    <xf numFmtId="20" fontId="42" fillId="2" borderId="39" xfId="44" applyNumberFormat="1" applyFont="1" applyFill="1" applyBorder="1" applyAlignment="1" applyProtection="1">
      <alignment horizontal="center" vertical="center"/>
    </xf>
    <xf numFmtId="0" fontId="29" fillId="2" borderId="58" xfId="1" applyFont="1" applyFill="1" applyBorder="1" applyAlignment="1" applyProtection="1">
      <alignment horizontal="center" vertical="center"/>
      <protection locked="0"/>
    </xf>
    <xf numFmtId="0" fontId="29" fillId="2" borderId="10" xfId="1" applyFont="1" applyFill="1" applyBorder="1" applyAlignment="1" applyProtection="1">
      <alignment horizontal="center" vertical="center"/>
      <protection locked="0"/>
    </xf>
    <xf numFmtId="167" fontId="38" fillId="2" borderId="41" xfId="1" applyNumberFormat="1" applyFont="1" applyFill="1" applyBorder="1" applyAlignment="1" applyProtection="1">
      <alignment horizontal="center" vertical="center"/>
      <protection locked="0"/>
    </xf>
    <xf numFmtId="167" fontId="38" fillId="2" borderId="59" xfId="1" applyNumberFormat="1" applyFont="1" applyFill="1" applyBorder="1" applyAlignment="1" applyProtection="1">
      <alignment horizontal="center" vertical="center"/>
      <protection locked="0"/>
    </xf>
    <xf numFmtId="0" fontId="29" fillId="2" borderId="26" xfId="1" applyFont="1" applyFill="1" applyBorder="1" applyAlignment="1" applyProtection="1">
      <alignment horizontal="center" vertical="center"/>
      <protection locked="0"/>
    </xf>
    <xf numFmtId="167" fontId="38" fillId="2" borderId="61" xfId="1" applyNumberFormat="1" applyFont="1" applyFill="1" applyBorder="1" applyAlignment="1" applyProtection="1">
      <alignment horizontal="center" vertical="center"/>
      <protection locked="0"/>
    </xf>
    <xf numFmtId="167" fontId="38" fillId="2" borderId="60" xfId="1" applyNumberFormat="1" applyFont="1" applyFill="1" applyBorder="1" applyAlignment="1" applyProtection="1">
      <alignment horizontal="center" vertical="center"/>
      <protection locked="0"/>
    </xf>
    <xf numFmtId="0" fontId="29" fillId="2" borderId="56" xfId="1" applyFont="1" applyFill="1" applyBorder="1" applyAlignment="1" applyProtection="1">
      <alignment horizontal="center" vertical="center"/>
      <protection locked="0"/>
    </xf>
    <xf numFmtId="0" fontId="26" fillId="2" borderId="0" xfId="43" applyFont="1" applyFill="1" applyBorder="1" applyAlignment="1">
      <alignment vertical="top"/>
    </xf>
    <xf numFmtId="0" fontId="25" fillId="2" borderId="0" xfId="1" applyFont="1" applyFill="1" applyBorder="1" applyAlignment="1" applyProtection="1">
      <alignment vertical="center"/>
      <protection locked="0"/>
    </xf>
    <xf numFmtId="0" fontId="37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left" vertical="top" wrapText="1"/>
      <protection locked="0"/>
    </xf>
    <xf numFmtId="0" fontId="34" fillId="34" borderId="18" xfId="1" applyFont="1" applyFill="1" applyBorder="1" applyAlignment="1" applyProtection="1">
      <alignment horizontal="center" vertical="center"/>
      <protection locked="0"/>
    </xf>
    <xf numFmtId="0" fontId="34" fillId="34" borderId="19" xfId="1" applyFont="1" applyFill="1" applyBorder="1" applyAlignment="1" applyProtection="1">
      <alignment horizontal="center" vertical="center"/>
      <protection locked="0"/>
    </xf>
    <xf numFmtId="0" fontId="40" fillId="0" borderId="33" xfId="0" applyFont="1" applyBorder="1" applyAlignment="1">
      <alignment horizontal="center"/>
    </xf>
    <xf numFmtId="0" fontId="40" fillId="0" borderId="34" xfId="0" applyFont="1" applyBorder="1" applyAlignment="1">
      <alignment horizontal="center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41" fillId="0" borderId="27" xfId="0" applyFont="1" applyBorder="1" applyAlignment="1" applyProtection="1">
      <alignment horizontal="left" vertical="center" wrapText="1"/>
      <protection locked="0"/>
    </xf>
    <xf numFmtId="0" fontId="41" fillId="0" borderId="29" xfId="0" applyFont="1" applyBorder="1" applyAlignment="1" applyProtection="1">
      <alignment horizontal="left" vertical="center" wrapText="1"/>
      <protection locked="0"/>
    </xf>
    <xf numFmtId="0" fontId="41" fillId="0" borderId="30" xfId="0" applyFont="1" applyBorder="1" applyAlignment="1" applyProtection="1">
      <alignment horizontal="left" vertical="center" wrapText="1"/>
      <protection locked="0"/>
    </xf>
    <xf numFmtId="0" fontId="41" fillId="0" borderId="32" xfId="0" applyFont="1" applyBorder="1" applyAlignment="1" applyProtection="1">
      <alignment horizontal="left" vertical="center" wrapText="1"/>
      <protection locked="0"/>
    </xf>
    <xf numFmtId="0" fontId="21" fillId="0" borderId="35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6" fillId="35" borderId="16" xfId="1" applyFont="1" applyFill="1" applyBorder="1" applyAlignment="1" applyProtection="1">
      <alignment horizontal="left" vertical="center"/>
      <protection locked="0"/>
    </xf>
    <xf numFmtId="0" fontId="34" fillId="2" borderId="10" xfId="1" applyFont="1" applyFill="1" applyBorder="1" applyAlignment="1" applyProtection="1">
      <alignment horizontal="center" vertical="center" wrapText="1"/>
      <protection locked="0"/>
    </xf>
    <xf numFmtId="0" fontId="34" fillId="2" borderId="22" xfId="1" applyFont="1" applyFill="1" applyBorder="1" applyAlignment="1" applyProtection="1">
      <alignment horizontal="center" vertical="center" wrapText="1"/>
      <protection locked="0"/>
    </xf>
    <xf numFmtId="0" fontId="34" fillId="2" borderId="10" xfId="1" applyFont="1" applyFill="1" applyBorder="1" applyAlignment="1" applyProtection="1">
      <alignment horizontal="center" vertical="center"/>
      <protection locked="0"/>
    </xf>
    <xf numFmtId="0" fontId="34" fillId="2" borderId="22" xfId="1" applyFont="1" applyFill="1" applyBorder="1" applyAlignment="1" applyProtection="1">
      <alignment horizontal="center" vertical="center"/>
      <protection locked="0"/>
    </xf>
    <xf numFmtId="0" fontId="28" fillId="2" borderId="41" xfId="1" applyFont="1" applyFill="1" applyBorder="1" applyAlignment="1" applyProtection="1">
      <alignment horizontal="center" vertical="center"/>
      <protection locked="0"/>
    </xf>
    <xf numFmtId="0" fontId="28" fillId="2" borderId="21" xfId="1" applyFont="1" applyFill="1" applyBorder="1" applyAlignment="1" applyProtection="1">
      <alignment horizontal="center" vertical="center"/>
      <protection locked="0"/>
    </xf>
    <xf numFmtId="0" fontId="28" fillId="2" borderId="46" xfId="1" applyFont="1" applyFill="1" applyBorder="1" applyAlignment="1" applyProtection="1">
      <alignment horizontal="center" vertical="center"/>
      <protection locked="0"/>
    </xf>
    <xf numFmtId="0" fontId="27" fillId="39" borderId="22" xfId="1" applyFont="1" applyFill="1" applyBorder="1" applyAlignment="1" applyProtection="1">
      <alignment horizontal="center" vertical="center"/>
      <protection locked="0"/>
    </xf>
    <xf numFmtId="0" fontId="27" fillId="39" borderId="21" xfId="1" applyFont="1" applyFill="1" applyBorder="1" applyAlignment="1" applyProtection="1">
      <alignment horizontal="center" vertical="center"/>
      <protection locked="0"/>
    </xf>
    <xf numFmtId="0" fontId="28" fillId="2" borderId="50" xfId="1" applyFont="1" applyFill="1" applyBorder="1" applyAlignment="1" applyProtection="1">
      <alignment horizontal="center" vertical="center"/>
      <protection locked="0"/>
    </xf>
    <xf numFmtId="0" fontId="28" fillId="2" borderId="12" xfId="1" applyFont="1" applyFill="1" applyBorder="1" applyAlignment="1" applyProtection="1">
      <alignment horizontal="center" vertical="center"/>
      <protection locked="0"/>
    </xf>
    <xf numFmtId="0" fontId="28" fillId="2" borderId="51" xfId="1" applyFont="1" applyFill="1" applyBorder="1" applyAlignment="1" applyProtection="1">
      <alignment horizontal="center" vertical="center"/>
      <protection locked="0"/>
    </xf>
    <xf numFmtId="0" fontId="27" fillId="38" borderId="22" xfId="1" applyFont="1" applyFill="1" applyBorder="1" applyAlignment="1" applyProtection="1">
      <alignment horizontal="center" vertical="center"/>
      <protection locked="0"/>
    </xf>
    <xf numFmtId="0" fontId="27" fillId="38" borderId="25" xfId="1" applyFont="1" applyFill="1" applyBorder="1" applyAlignment="1" applyProtection="1">
      <alignment horizontal="center" vertical="center"/>
      <protection locked="0"/>
    </xf>
    <xf numFmtId="0" fontId="27" fillId="37" borderId="22" xfId="1" applyFont="1" applyFill="1" applyBorder="1" applyAlignment="1" applyProtection="1">
      <alignment horizontal="center" vertical="center"/>
      <protection locked="0"/>
    </xf>
    <xf numFmtId="0" fontId="27" fillId="37" borderId="21" xfId="1" applyFont="1" applyFill="1" applyBorder="1" applyAlignment="1" applyProtection="1">
      <alignment horizontal="center" vertical="center"/>
      <protection locked="0"/>
    </xf>
    <xf numFmtId="0" fontId="21" fillId="2" borderId="0" xfId="1" applyFont="1" applyFill="1" applyAlignment="1" applyProtection="1">
      <alignment horizontal="left" vertical="center"/>
      <protection locked="0"/>
    </xf>
    <xf numFmtId="0" fontId="21" fillId="2" borderId="0" xfId="1" applyFont="1" applyFill="1" applyAlignment="1" applyProtection="1">
      <alignment horizontal="left" vertical="center" wrapText="1"/>
      <protection locked="0"/>
    </xf>
    <xf numFmtId="0" fontId="21" fillId="2" borderId="0" xfId="1" applyFont="1" applyFill="1" applyAlignment="1" applyProtection="1">
      <alignment horizontal="center" vertical="center" wrapText="1"/>
      <protection locked="0"/>
    </xf>
  </cellXfs>
  <cellStyles count="46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1" xr:uid="{00000000-0005-0000-0000-000023000000}"/>
    <cellStyle name="Normal 2 2" xfId="43" xr:uid="{00000000-0005-0000-0000-000024000000}"/>
    <cellStyle name="Normal 2 3" xfId="45" xr:uid="{00000000-0005-0000-0000-000025000000}"/>
    <cellStyle name="Nota" xfId="16" builtinId="10" customBuiltin="1"/>
    <cellStyle name="Porcentagem" xfId="44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20"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  <dxf>
      <font>
        <b val="0"/>
        <i val="0"/>
        <color auto="1"/>
        <name val="Cambri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D-4021-A539-E78E62CA115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C0D-4021-A539-E78E62CA115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C0D-4021-A539-E78E62CA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1-4B6F-8CAD-2D45235C42C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71-4B6F-8CAD-2D45235C42C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271-4B6F-8CAD-2D45235C4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5-4F6A-AA7F-D5043DB8A3B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4A5-4F6A-AA7F-D5043DB8A3B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4A5-4F6A-AA7F-D5043DB8A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0-4609-9943-D9F71A29E6D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20-4609-9943-D9F71A29E6D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420-4609-9943-D9F71A29E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'1'!$H$28:$H$37</c:f>
              <c:numCache>
                <c:formatCode>0.0000</c:formatCode>
                <c:ptCount val="10"/>
                <c:pt idx="0">
                  <c:v>8.286999999999999</c:v>
                </c:pt>
                <c:pt idx="1">
                  <c:v>5.5030000000000001</c:v>
                </c:pt>
                <c:pt idx="2">
                  <c:v>4.04</c:v>
                </c:pt>
                <c:pt idx="3">
                  <c:v>1.38</c:v>
                </c:pt>
                <c:pt idx="4">
                  <c:v>1.153</c:v>
                </c:pt>
                <c:pt idx="5">
                  <c:v>5.4870000000000001</c:v>
                </c:pt>
                <c:pt idx="6">
                  <c:v>4.5129999999999999</c:v>
                </c:pt>
                <c:pt idx="7">
                  <c:v>3.1</c:v>
                </c:pt>
                <c:pt idx="8">
                  <c:v>1.4100000000000001</c:v>
                </c:pt>
                <c:pt idx="9">
                  <c:v>1.2030000000000001</c:v>
                </c:pt>
              </c:numCache>
            </c:numRef>
          </c:xVal>
          <c:yVal>
            <c:numRef>
              <c:f>'1'!$I$28:$I$37</c:f>
              <c:numCache>
                <c:formatCode>0.0000</c:formatCode>
                <c:ptCount val="10"/>
                <c:pt idx="0">
                  <c:v>1.0017667000000001</c:v>
                </c:pt>
                <c:pt idx="1">
                  <c:v>1.0015466999999998</c:v>
                </c:pt>
                <c:pt idx="2">
                  <c:v>1.0015499999999999</c:v>
                </c:pt>
                <c:pt idx="3">
                  <c:v>1.0010600000000001</c:v>
                </c:pt>
                <c:pt idx="4">
                  <c:v>1.0009899999999998</c:v>
                </c:pt>
                <c:pt idx="5">
                  <c:v>1.0013267000000001</c:v>
                </c:pt>
                <c:pt idx="6">
                  <c:v>1.0012166999999998</c:v>
                </c:pt>
                <c:pt idx="7">
                  <c:v>1.00119</c:v>
                </c:pt>
                <c:pt idx="8">
                  <c:v>1.0008600000000001</c:v>
                </c:pt>
                <c:pt idx="9">
                  <c:v>1.00084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E-4DC2-A75B-38937932FBC1}"/>
            </c:ext>
          </c:extLst>
        </c:ser>
        <c:ser>
          <c:idx val="1"/>
          <c:order val="1"/>
          <c:tx>
            <c:strRef>
              <c:f>'1'!$M$7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FE-4DC2-A75B-38937932FBC1}"/>
            </c:ext>
          </c:extLst>
        </c:ser>
        <c:ser>
          <c:idx val="2"/>
          <c:order val="2"/>
          <c:tx>
            <c:strRef>
              <c:f>'1'!$M$9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E-4DC2-A75B-38937932FBC1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FE-4DC2-A75B-38937932F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E-4B6F-BE19-22AAE58BCD25}"/>
            </c:ext>
          </c:extLst>
        </c:ser>
        <c:ser>
          <c:idx val="0"/>
          <c:order val="1"/>
          <c:tx>
            <c:strRef>
              <c:f>'1'!$M$27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'1'!$M$28:$M$42</c:f>
              <c:numCache>
                <c:formatCode>General</c:formatCode>
                <c:ptCount val="15"/>
                <c:pt idx="0">
                  <c:v>8.286999999999999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5.4870000000000001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7.2069999999999999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'1'!$N$28:$N$42</c:f>
              <c:numCache>
                <c:formatCode>General</c:formatCode>
                <c:ptCount val="15"/>
                <c:pt idx="0">
                  <c:v>1.0017667000000001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1.0013267000000001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1.0014567000000001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E-4B6F-BE19-22AAE58BCD25}"/>
            </c:ext>
          </c:extLst>
        </c:ser>
        <c:ser>
          <c:idx val="4"/>
          <c:order val="2"/>
          <c:tx>
            <c:strRef>
              <c:f>'1'!$M$9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AE-4B6F-BE19-22AAE58BCD25}"/>
            </c:ext>
          </c:extLst>
        </c:ser>
        <c:ser>
          <c:idx val="3"/>
          <c:order val="3"/>
          <c:tx>
            <c:strRef>
              <c:f>'1'!$O$27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'1'!$O$28:$O$42</c:f>
              <c:numCache>
                <c:formatCode>General</c:formatCode>
                <c:ptCount val="15"/>
                <c:pt idx="0">
                  <c:v>0</c:v>
                </c:pt>
                <c:pt idx="1">
                  <c:v>5.5030000000000001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4.5129999999999999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5.7130000000000001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1.0015466999999998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1.0012166999999998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1.0013266999999999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E-4B6F-BE19-22AAE58BCD25}"/>
            </c:ext>
          </c:extLst>
        </c:ser>
        <c:ser>
          <c:idx val="1"/>
          <c:order val="4"/>
          <c:tx>
            <c:strRef>
              <c:f>'1'!$M$12:$M$13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AE-4B6F-BE19-22AAE58BCD25}"/>
            </c:ext>
          </c:extLst>
        </c:ser>
        <c:ser>
          <c:idx val="5"/>
          <c:order val="5"/>
          <c:tx>
            <c:strRef>
              <c:f>'1'!$Q$27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4.04</c:v>
                </c:pt>
                <c:pt idx="3">
                  <c:v>1.38</c:v>
                </c:pt>
                <c:pt idx="4" formatCode="0.0000">
                  <c:v>1.153</c:v>
                </c:pt>
                <c:pt idx="5">
                  <c:v>0</c:v>
                </c:pt>
                <c:pt idx="6">
                  <c:v>0</c:v>
                </c:pt>
                <c:pt idx="7">
                  <c:v>3.1</c:v>
                </c:pt>
                <c:pt idx="8">
                  <c:v>1.4100000000000001</c:v>
                </c:pt>
                <c:pt idx="9" formatCode="0.0000">
                  <c:v>1.2030000000000001</c:v>
                </c:pt>
                <c:pt idx="10">
                  <c:v>0</c:v>
                </c:pt>
                <c:pt idx="11">
                  <c:v>0</c:v>
                </c:pt>
                <c:pt idx="12">
                  <c:v>3.19</c:v>
                </c:pt>
                <c:pt idx="13">
                  <c:v>1.1400000000000001</c:v>
                </c:pt>
                <c:pt idx="14" formatCode="0.0000">
                  <c:v>2.2830000000000004</c:v>
                </c:pt>
              </c:numCache>
            </c:numRef>
          </c:xVal>
          <c:yVal>
            <c:numRef>
              <c:f>'1'!$R$28:$R$42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1.0015499999999999</c:v>
                </c:pt>
                <c:pt idx="3">
                  <c:v>1.0010600000000001</c:v>
                </c:pt>
                <c:pt idx="4" formatCode="0.0000">
                  <c:v>1.0009899999999998</c:v>
                </c:pt>
                <c:pt idx="5">
                  <c:v>0</c:v>
                </c:pt>
                <c:pt idx="6">
                  <c:v>0</c:v>
                </c:pt>
                <c:pt idx="7">
                  <c:v>1.00119</c:v>
                </c:pt>
                <c:pt idx="8">
                  <c:v>1.0008600000000001</c:v>
                </c:pt>
                <c:pt idx="9" formatCode="0.0000">
                  <c:v>1.00084</c:v>
                </c:pt>
                <c:pt idx="10">
                  <c:v>0</c:v>
                </c:pt>
                <c:pt idx="11">
                  <c:v>0</c:v>
                </c:pt>
                <c:pt idx="12">
                  <c:v>1.00135</c:v>
                </c:pt>
                <c:pt idx="13">
                  <c:v>1.00088</c:v>
                </c:pt>
                <c:pt idx="14" formatCode="0.0000">
                  <c:v>1.0009699999999999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AE-4B6F-BE19-22AAE58BC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74-447A-9836-B37EBCB0C35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74-447A-9836-B37EBCB0C35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C74-447A-9836-B37EBCB0C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F2-491C-9E8E-67EC9406D9B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9F2-491C-9E8E-67EC9406D9B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9F2-491C-9E8E-67EC9406D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'2'!$H$28:$H$37</c:f>
              <c:numCache>
                <c:formatCode>0.0000</c:formatCode>
                <c:ptCount val="10"/>
                <c:pt idx="0">
                  <c:v>4.8869999999999996</c:v>
                </c:pt>
                <c:pt idx="1">
                  <c:v>4.5730000000000004</c:v>
                </c:pt>
                <c:pt idx="2">
                  <c:v>2.88</c:v>
                </c:pt>
                <c:pt idx="3">
                  <c:v>0.92</c:v>
                </c:pt>
                <c:pt idx="4">
                  <c:v>0.77300000000000002</c:v>
                </c:pt>
                <c:pt idx="5">
                  <c:v>8.9269999999999996</c:v>
                </c:pt>
                <c:pt idx="6">
                  <c:v>8.0229999999999997</c:v>
                </c:pt>
                <c:pt idx="7">
                  <c:v>4.38</c:v>
                </c:pt>
                <c:pt idx="8">
                  <c:v>0.93</c:v>
                </c:pt>
                <c:pt idx="9">
                  <c:v>0.86299999999999999</c:v>
                </c:pt>
              </c:numCache>
            </c:numRef>
          </c:xVal>
          <c:yVal>
            <c:numRef>
              <c:f>'2'!$I$28:$I$37</c:f>
              <c:numCache>
                <c:formatCode>0.0000</c:formatCode>
                <c:ptCount val="10"/>
                <c:pt idx="0">
                  <c:v>1.0012567000000001</c:v>
                </c:pt>
                <c:pt idx="1">
                  <c:v>1.0012466999999998</c:v>
                </c:pt>
                <c:pt idx="2">
                  <c:v>1.00132</c:v>
                </c:pt>
                <c:pt idx="3">
                  <c:v>1.0009400000000002</c:v>
                </c:pt>
                <c:pt idx="4">
                  <c:v>1.0008999999999999</c:v>
                </c:pt>
                <c:pt idx="5">
                  <c:v>1.0020967000000001</c:v>
                </c:pt>
                <c:pt idx="6">
                  <c:v>1.0007777</c:v>
                </c:pt>
                <c:pt idx="7">
                  <c:v>1.0019</c:v>
                </c:pt>
                <c:pt idx="8">
                  <c:v>1.0012300000000001</c:v>
                </c:pt>
                <c:pt idx="9">
                  <c:v>1.0011599999999998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A-4532-9CB6-A875026A61BD}"/>
            </c:ext>
          </c:extLst>
        </c:ser>
        <c:ser>
          <c:idx val="1"/>
          <c:order val="1"/>
          <c:tx>
            <c:strRef>
              <c:f>'2'!$M$7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A-4532-9CB6-A875026A61BD}"/>
            </c:ext>
          </c:extLst>
        </c:ser>
        <c:ser>
          <c:idx val="2"/>
          <c:order val="2"/>
          <c:tx>
            <c:strRef>
              <c:f>'2'!$M$9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FA-4532-9CB6-A875026A61BD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FA-4532-9CB6-A875026A6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'2'!$M$6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9-467B-837D-5A466F2B20DD}"/>
            </c:ext>
          </c:extLst>
        </c:ser>
        <c:ser>
          <c:idx val="0"/>
          <c:order val="1"/>
          <c:tx>
            <c:strRef>
              <c:f>'2'!$M$27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'2'!$M$28:$M$42</c:f>
              <c:numCache>
                <c:formatCode>General</c:formatCode>
                <c:ptCount val="15"/>
                <c:pt idx="0">
                  <c:v>4.8869999999999996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8.9269999999999996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8.6269999999999989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'2'!$N$28:$N$42</c:f>
              <c:numCache>
                <c:formatCode>General</c:formatCode>
                <c:ptCount val="15"/>
                <c:pt idx="0">
                  <c:v>1.0012567000000001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1.0020967000000001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1.0015567000000001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9-467B-837D-5A466F2B20DD}"/>
            </c:ext>
          </c:extLst>
        </c:ser>
        <c:ser>
          <c:idx val="4"/>
          <c:order val="2"/>
          <c:tx>
            <c:strRef>
              <c:f>'2'!$M$9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9-467B-837D-5A466F2B20DD}"/>
            </c:ext>
          </c:extLst>
        </c:ser>
        <c:ser>
          <c:idx val="3"/>
          <c:order val="3"/>
          <c:tx>
            <c:strRef>
              <c:f>'2'!$O$27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'2'!$O$28:$O$42</c:f>
              <c:numCache>
                <c:formatCode>General</c:formatCode>
                <c:ptCount val="15"/>
                <c:pt idx="0">
                  <c:v>0</c:v>
                </c:pt>
                <c:pt idx="1">
                  <c:v>4.5730000000000004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8.0229999999999997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6.5430000000000001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1.0012466999999998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1.0007777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1.0013666999999999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9-467B-837D-5A466F2B20DD}"/>
            </c:ext>
          </c:extLst>
        </c:ser>
        <c:ser>
          <c:idx val="1"/>
          <c:order val="4"/>
          <c:tx>
            <c:strRef>
              <c:f>'2'!$M$12:$M$13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'2'!$Q$12:$U$12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'2'!$Q$13:$U$13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69-467B-837D-5A466F2B20DD}"/>
            </c:ext>
          </c:extLst>
        </c:ser>
        <c:ser>
          <c:idx val="5"/>
          <c:order val="5"/>
          <c:tx>
            <c:strRef>
              <c:f>'2'!$Q$27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'2'!$Q$28:$Q$42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2.88</c:v>
                </c:pt>
                <c:pt idx="3">
                  <c:v>0.92</c:v>
                </c:pt>
                <c:pt idx="4" formatCode="0.0000">
                  <c:v>0.77300000000000002</c:v>
                </c:pt>
                <c:pt idx="5">
                  <c:v>0</c:v>
                </c:pt>
                <c:pt idx="6">
                  <c:v>0</c:v>
                </c:pt>
                <c:pt idx="7">
                  <c:v>4.38</c:v>
                </c:pt>
                <c:pt idx="8">
                  <c:v>0.93</c:v>
                </c:pt>
                <c:pt idx="9" formatCode="0.0000">
                  <c:v>0.86299999999999999</c:v>
                </c:pt>
                <c:pt idx="10">
                  <c:v>0</c:v>
                </c:pt>
                <c:pt idx="11">
                  <c:v>0</c:v>
                </c:pt>
                <c:pt idx="12">
                  <c:v>4.01</c:v>
                </c:pt>
                <c:pt idx="13">
                  <c:v>2.61</c:v>
                </c:pt>
                <c:pt idx="14" formatCode="0.0000">
                  <c:v>4.9930000000000003</c:v>
                </c:pt>
              </c:numCache>
            </c:numRef>
          </c:xVal>
          <c:yVal>
            <c:numRef>
              <c:f>'2'!$R$28:$R$42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1.00132</c:v>
                </c:pt>
                <c:pt idx="3">
                  <c:v>1.0009400000000002</c:v>
                </c:pt>
                <c:pt idx="4" formatCode="0.0000">
                  <c:v>1.0008999999999999</c:v>
                </c:pt>
                <c:pt idx="5">
                  <c:v>0</c:v>
                </c:pt>
                <c:pt idx="6">
                  <c:v>0</c:v>
                </c:pt>
                <c:pt idx="7">
                  <c:v>1.0019</c:v>
                </c:pt>
                <c:pt idx="8">
                  <c:v>1.0012300000000001</c:v>
                </c:pt>
                <c:pt idx="9" formatCode="0.0000">
                  <c:v>1.0011599999999998</c:v>
                </c:pt>
                <c:pt idx="10">
                  <c:v>0</c:v>
                </c:pt>
                <c:pt idx="11">
                  <c:v>0</c:v>
                </c:pt>
                <c:pt idx="12">
                  <c:v>1.0014400000000001</c:v>
                </c:pt>
                <c:pt idx="13">
                  <c:v>1.0012100000000002</c:v>
                </c:pt>
                <c:pt idx="14" formatCode="0.0000">
                  <c:v>1.00145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69-467B-837D-5A466F2B2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4-49DA-9B40-BD511B6FF63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BD4-49DA-9B40-BD511B6FF63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BD4-49DA-9B40-BD511B6FF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A-450B-B0DE-E82FF816AD9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21A-450B-B0DE-E82FF816AD9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21A-450B-B0DE-E82FF816A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'3'!$I$28:$I$37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8-41C5-8355-9341501295DC}"/>
            </c:ext>
          </c:extLst>
        </c:ser>
        <c:ser>
          <c:idx val="1"/>
          <c:order val="1"/>
          <c:tx>
            <c:strRef>
              <c:f>'3'!$M$7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28-41C5-8355-9341501295DC}"/>
            </c:ext>
          </c:extLst>
        </c:ser>
        <c:ser>
          <c:idx val="2"/>
          <c:order val="2"/>
          <c:tx>
            <c:strRef>
              <c:f>'3'!$M$9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28-41C5-8355-9341501295DC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28-41C5-8355-93415012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'3'!$M$6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2-4CE2-BEA2-D95419A31378}"/>
            </c:ext>
          </c:extLst>
        </c:ser>
        <c:ser>
          <c:idx val="0"/>
          <c:order val="1"/>
          <c:tx>
            <c:strRef>
              <c:f>'3'!$M$27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'3'!$M$28:$M$42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'3'!$N$28:$N$42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92-4CE2-BEA2-D95419A31378}"/>
            </c:ext>
          </c:extLst>
        </c:ser>
        <c:ser>
          <c:idx val="4"/>
          <c:order val="2"/>
          <c:tx>
            <c:strRef>
              <c:f>'3'!$M$9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92-4CE2-BEA2-D95419A31378}"/>
            </c:ext>
          </c:extLst>
        </c:ser>
        <c:ser>
          <c:idx val="3"/>
          <c:order val="3"/>
          <c:tx>
            <c:strRef>
              <c:f>'3'!$O$27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'3'!$O$28:$O$42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'3'!$P$28:$P$42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92-4CE2-BEA2-D95419A31378}"/>
            </c:ext>
          </c:extLst>
        </c:ser>
        <c:ser>
          <c:idx val="1"/>
          <c:order val="4"/>
          <c:tx>
            <c:strRef>
              <c:f>'3'!$M$12:$M$13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'3'!$Q$12:$U$12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'3'!$Q$13:$U$13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92-4CE2-BEA2-D95419A31378}"/>
            </c:ext>
          </c:extLst>
        </c:ser>
        <c:ser>
          <c:idx val="5"/>
          <c:order val="5"/>
          <c:tx>
            <c:strRef>
              <c:f>'3'!$Q$27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'3'!$Q$28:$Q$42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'3'!$R$28:$R$42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92-4CE2-BEA2-D95419A31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3-476B-9D62-19CD9D24D70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D93-476B-9D62-19CD9D24D70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D93-476B-9D62-19CD9D24D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5-4186-903D-56F788815EA9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95-4186-903D-56F788815EA9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395-4186-903D-56F788815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'4'!$H$28:$H$37</c:f>
              <c:numCache>
                <c:formatCode>0.0000</c:formatCode>
                <c:ptCount val="10"/>
                <c:pt idx="0">
                  <c:v>9.1669999999999998</c:v>
                </c:pt>
                <c:pt idx="1">
                  <c:v>7.1630000000000003</c:v>
                </c:pt>
                <c:pt idx="2">
                  <c:v>4.03</c:v>
                </c:pt>
                <c:pt idx="3">
                  <c:v>1.05</c:v>
                </c:pt>
                <c:pt idx="4">
                  <c:v>0.9930000000000001</c:v>
                </c:pt>
                <c:pt idx="5">
                  <c:v>7.6470000000000002</c:v>
                </c:pt>
                <c:pt idx="6">
                  <c:v>6.7530000000000001</c:v>
                </c:pt>
                <c:pt idx="7">
                  <c:v>3.77</c:v>
                </c:pt>
                <c:pt idx="8">
                  <c:v>1.02</c:v>
                </c:pt>
                <c:pt idx="9">
                  <c:v>0.873</c:v>
                </c:pt>
              </c:numCache>
            </c:numRef>
          </c:xVal>
          <c:yVal>
            <c:numRef>
              <c:f>'4'!$I$28:$I$37</c:f>
              <c:numCache>
                <c:formatCode>0.0000</c:formatCode>
                <c:ptCount val="10"/>
                <c:pt idx="0">
                  <c:v>1.0018667000000001</c:v>
                </c:pt>
                <c:pt idx="1">
                  <c:v>1.0017066999999999</c:v>
                </c:pt>
                <c:pt idx="2">
                  <c:v>1.00177</c:v>
                </c:pt>
                <c:pt idx="3">
                  <c:v>1.00115</c:v>
                </c:pt>
                <c:pt idx="4">
                  <c:v>1.0011099999999999</c:v>
                </c:pt>
                <c:pt idx="5">
                  <c:v>1.0017367000000001</c:v>
                </c:pt>
                <c:pt idx="6">
                  <c:v>1.0016266999999999</c:v>
                </c:pt>
                <c:pt idx="7">
                  <c:v>1.00166</c:v>
                </c:pt>
                <c:pt idx="8">
                  <c:v>1.0011000000000001</c:v>
                </c:pt>
                <c:pt idx="9">
                  <c:v>1.00105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3F-4987-8B24-867EAE705E87}"/>
            </c:ext>
          </c:extLst>
        </c:ser>
        <c:ser>
          <c:idx val="1"/>
          <c:order val="1"/>
          <c:tx>
            <c:strRef>
              <c:f>'4'!$M$7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3F-4987-8B24-867EAE705E87}"/>
            </c:ext>
          </c:extLst>
        </c:ser>
        <c:ser>
          <c:idx val="2"/>
          <c:order val="2"/>
          <c:tx>
            <c:strRef>
              <c:f>'4'!$M$9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3F-4987-8B24-867EAE705E8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3F-4987-8B24-867EAE705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'4'!$M$6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5-45C8-B203-FF03890625DF}"/>
            </c:ext>
          </c:extLst>
        </c:ser>
        <c:ser>
          <c:idx val="0"/>
          <c:order val="1"/>
          <c:tx>
            <c:strRef>
              <c:f>'4'!$M$27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'4'!$M$28:$M$42</c:f>
              <c:numCache>
                <c:formatCode>General</c:formatCode>
                <c:ptCount val="15"/>
                <c:pt idx="0">
                  <c:v>9.1669999999999998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7.6470000000000002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12.757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'4'!$N$28:$N$42</c:f>
              <c:numCache>
                <c:formatCode>General</c:formatCode>
                <c:ptCount val="15"/>
                <c:pt idx="0">
                  <c:v>1.0018667000000001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1.0017367000000001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1.0021167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5-45C8-B203-FF03890625DF}"/>
            </c:ext>
          </c:extLst>
        </c:ser>
        <c:ser>
          <c:idx val="4"/>
          <c:order val="2"/>
          <c:tx>
            <c:strRef>
              <c:f>'4'!$M$9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45-45C8-B203-FF03890625DF}"/>
            </c:ext>
          </c:extLst>
        </c:ser>
        <c:ser>
          <c:idx val="3"/>
          <c:order val="3"/>
          <c:tx>
            <c:strRef>
              <c:f>'4'!$O$27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'4'!$O$28:$O$42</c:f>
              <c:numCache>
                <c:formatCode>General</c:formatCode>
                <c:ptCount val="15"/>
                <c:pt idx="0">
                  <c:v>0</c:v>
                </c:pt>
                <c:pt idx="1">
                  <c:v>7.1630000000000003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6.7530000000000001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10.222999999999999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'4'!$P$28:$P$42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1.0017066999999999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1.0016266999999999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1.0019966999999999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45-45C8-B203-FF03890625DF}"/>
            </c:ext>
          </c:extLst>
        </c:ser>
        <c:ser>
          <c:idx val="1"/>
          <c:order val="4"/>
          <c:tx>
            <c:strRef>
              <c:f>'4'!$M$12:$M$13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'4'!$Q$12:$U$12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'4'!$Q$13:$U$13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45-45C8-B203-FF03890625DF}"/>
            </c:ext>
          </c:extLst>
        </c:ser>
        <c:ser>
          <c:idx val="5"/>
          <c:order val="5"/>
          <c:tx>
            <c:strRef>
              <c:f>'4'!$Q$27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'4'!$Q$28:$Q$42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4.03</c:v>
                </c:pt>
                <c:pt idx="3">
                  <c:v>1.05</c:v>
                </c:pt>
                <c:pt idx="4" formatCode="0.0000">
                  <c:v>0.9930000000000001</c:v>
                </c:pt>
                <c:pt idx="5">
                  <c:v>0</c:v>
                </c:pt>
                <c:pt idx="6">
                  <c:v>0</c:v>
                </c:pt>
                <c:pt idx="7">
                  <c:v>3.77</c:v>
                </c:pt>
                <c:pt idx="8">
                  <c:v>1.02</c:v>
                </c:pt>
                <c:pt idx="9" formatCode="0.0000">
                  <c:v>0.873</c:v>
                </c:pt>
                <c:pt idx="10">
                  <c:v>0</c:v>
                </c:pt>
                <c:pt idx="11">
                  <c:v>0</c:v>
                </c:pt>
                <c:pt idx="12">
                  <c:v>5.7700000000000005</c:v>
                </c:pt>
                <c:pt idx="13">
                  <c:v>2.12</c:v>
                </c:pt>
                <c:pt idx="14" formatCode="0.0000">
                  <c:v>2.573</c:v>
                </c:pt>
              </c:numCache>
            </c:numRef>
          </c:xVal>
          <c:yVal>
            <c:numRef>
              <c:f>'4'!$R$28:$R$42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1.00177</c:v>
                </c:pt>
                <c:pt idx="3">
                  <c:v>1.00115</c:v>
                </c:pt>
                <c:pt idx="4" formatCode="0.0000">
                  <c:v>1.0011099999999999</c:v>
                </c:pt>
                <c:pt idx="5">
                  <c:v>0</c:v>
                </c:pt>
                <c:pt idx="6">
                  <c:v>0</c:v>
                </c:pt>
                <c:pt idx="7">
                  <c:v>1.00166</c:v>
                </c:pt>
                <c:pt idx="8">
                  <c:v>1.0011000000000001</c:v>
                </c:pt>
                <c:pt idx="9" formatCode="0.0000">
                  <c:v>1.00105</c:v>
                </c:pt>
                <c:pt idx="10">
                  <c:v>0</c:v>
                </c:pt>
                <c:pt idx="11">
                  <c:v>0</c:v>
                </c:pt>
                <c:pt idx="12">
                  <c:v>1.00207</c:v>
                </c:pt>
                <c:pt idx="13">
                  <c:v>1.00143</c:v>
                </c:pt>
                <c:pt idx="14" formatCode="0.0000">
                  <c:v>1.0013399999999999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45-45C8-B203-FF0389062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5-4E1F-8BFB-50ED9CC46802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85-4E1F-8BFB-50ED9CC46802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B85-4E1F-8BFB-50ED9CC46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F8-4C45-B913-69CF082CE84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DF8-4C45-B913-69CF082CE84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DF8-4C45-B913-69CF082CE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'5'!$H$28:$H$37</c:f>
              <c:numCache>
                <c:formatCode>0.0000</c:formatCode>
                <c:ptCount val="10"/>
                <c:pt idx="0">
                  <c:v>6.1069999999999993</c:v>
                </c:pt>
                <c:pt idx="1">
                  <c:v>4.2930000000000001</c:v>
                </c:pt>
                <c:pt idx="2">
                  <c:v>3.31</c:v>
                </c:pt>
                <c:pt idx="3">
                  <c:v>1.35</c:v>
                </c:pt>
                <c:pt idx="4">
                  <c:v>1.0329999999999999</c:v>
                </c:pt>
                <c:pt idx="5">
                  <c:v>5.8070000000000004</c:v>
                </c:pt>
                <c:pt idx="6">
                  <c:v>4.6230000000000002</c:v>
                </c:pt>
                <c:pt idx="7">
                  <c:v>2.98</c:v>
                </c:pt>
                <c:pt idx="8">
                  <c:v>1.07</c:v>
                </c:pt>
                <c:pt idx="9">
                  <c:v>0.90300000000000002</c:v>
                </c:pt>
              </c:numCache>
            </c:numRef>
          </c:xVal>
          <c:yVal>
            <c:numRef>
              <c:f>'5'!$I$28:$I$37</c:f>
              <c:numCache>
                <c:formatCode>0.0000</c:formatCode>
                <c:ptCount val="10"/>
                <c:pt idx="0">
                  <c:v>1.0012367</c:v>
                </c:pt>
                <c:pt idx="1">
                  <c:v>1.0010166999999999</c:v>
                </c:pt>
                <c:pt idx="2">
                  <c:v>1.0010399999999999</c:v>
                </c:pt>
                <c:pt idx="3">
                  <c:v>1.0008400000000002</c:v>
                </c:pt>
                <c:pt idx="4">
                  <c:v>1.0007999999999999</c:v>
                </c:pt>
                <c:pt idx="5">
                  <c:v>1.0012367</c:v>
                </c:pt>
                <c:pt idx="6">
                  <c:v>1.0010766999999998</c:v>
                </c:pt>
                <c:pt idx="7">
                  <c:v>1.0011300000000001</c:v>
                </c:pt>
                <c:pt idx="8">
                  <c:v>1.0008600000000001</c:v>
                </c:pt>
                <c:pt idx="9">
                  <c:v>1.00085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B-4872-8FEC-F17BEFD431AA}"/>
            </c:ext>
          </c:extLst>
        </c:ser>
        <c:ser>
          <c:idx val="1"/>
          <c:order val="1"/>
          <c:tx>
            <c:strRef>
              <c:f>'5'!$M$7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9B-4872-8FEC-F17BEFD431AA}"/>
            </c:ext>
          </c:extLst>
        </c:ser>
        <c:ser>
          <c:idx val="2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B-4872-8FEC-F17BEFD431AA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B-4872-8FEC-F17BEFD43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'5'!$M$6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A-4AEC-ACA1-F2AE53E9C055}"/>
            </c:ext>
          </c:extLst>
        </c:ser>
        <c:ser>
          <c:idx val="0"/>
          <c:order val="1"/>
          <c:tx>
            <c:strRef>
              <c:f>'5'!$M$27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'5'!$M$28:$M$42</c:f>
              <c:numCache>
                <c:formatCode>General</c:formatCode>
                <c:ptCount val="15"/>
                <c:pt idx="0">
                  <c:v>6.1069999999999993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5.8070000000000004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5.9969999999999999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'5'!$N$28:$N$42</c:f>
              <c:numCache>
                <c:formatCode>General</c:formatCode>
                <c:ptCount val="15"/>
                <c:pt idx="0">
                  <c:v>1.0012367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1.0012367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1.0011567000000001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9A-4AEC-ACA1-F2AE53E9C055}"/>
            </c:ext>
          </c:extLst>
        </c:ser>
        <c:ser>
          <c:idx val="4"/>
          <c:order val="2"/>
          <c:tx>
            <c:strRef>
              <c:f>'5'!$M$9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A-4AEC-ACA1-F2AE53E9C055}"/>
            </c:ext>
          </c:extLst>
        </c:ser>
        <c:ser>
          <c:idx val="3"/>
          <c:order val="3"/>
          <c:tx>
            <c:strRef>
              <c:f>'5'!$O$27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'5'!$O$28:$O$42</c:f>
              <c:numCache>
                <c:formatCode>General</c:formatCode>
                <c:ptCount val="15"/>
                <c:pt idx="0">
                  <c:v>0</c:v>
                </c:pt>
                <c:pt idx="1">
                  <c:v>4.2930000000000001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4.6230000000000002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4.6130000000000004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'5'!$P$28:$P$42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1.0010166999999999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1.0010766999999998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1.0010166999999999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9A-4AEC-ACA1-F2AE53E9C055}"/>
            </c:ext>
          </c:extLst>
        </c:ser>
        <c:ser>
          <c:idx val="1"/>
          <c:order val="4"/>
          <c:tx>
            <c:strRef>
              <c:f>'5'!$M$12:$M$13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'5'!$Q$12:$U$12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'5'!$Q$13:$U$13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9A-4AEC-ACA1-F2AE53E9C055}"/>
            </c:ext>
          </c:extLst>
        </c:ser>
        <c:ser>
          <c:idx val="5"/>
          <c:order val="5"/>
          <c:tx>
            <c:strRef>
              <c:f>'5'!$Q$27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'5'!$Q$28:$Q$42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3.31</c:v>
                </c:pt>
                <c:pt idx="3">
                  <c:v>1.35</c:v>
                </c:pt>
                <c:pt idx="4" formatCode="0.0000">
                  <c:v>1.0329999999999999</c:v>
                </c:pt>
                <c:pt idx="5">
                  <c:v>0</c:v>
                </c:pt>
                <c:pt idx="6">
                  <c:v>0</c:v>
                </c:pt>
                <c:pt idx="7">
                  <c:v>2.98</c:v>
                </c:pt>
                <c:pt idx="8">
                  <c:v>1.07</c:v>
                </c:pt>
                <c:pt idx="9" formatCode="0.0000">
                  <c:v>0.90300000000000002</c:v>
                </c:pt>
                <c:pt idx="10">
                  <c:v>0</c:v>
                </c:pt>
                <c:pt idx="11">
                  <c:v>0</c:v>
                </c:pt>
                <c:pt idx="12">
                  <c:v>3.63</c:v>
                </c:pt>
                <c:pt idx="13">
                  <c:v>2.36</c:v>
                </c:pt>
                <c:pt idx="14" formatCode="0.0000">
                  <c:v>2.9529999999999998</c:v>
                </c:pt>
              </c:numCache>
            </c:numRef>
          </c:xVal>
          <c:yVal>
            <c:numRef>
              <c:f>'5'!$R$28:$R$42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1.0010399999999999</c:v>
                </c:pt>
                <c:pt idx="3">
                  <c:v>1.0008400000000002</c:v>
                </c:pt>
                <c:pt idx="4" formatCode="0.0000">
                  <c:v>1.0007999999999999</c:v>
                </c:pt>
                <c:pt idx="5">
                  <c:v>0</c:v>
                </c:pt>
                <c:pt idx="6">
                  <c:v>0</c:v>
                </c:pt>
                <c:pt idx="7">
                  <c:v>1.0011300000000001</c:v>
                </c:pt>
                <c:pt idx="8">
                  <c:v>1.0008600000000001</c:v>
                </c:pt>
                <c:pt idx="9" formatCode="0.0000">
                  <c:v>1.00085</c:v>
                </c:pt>
                <c:pt idx="10">
                  <c:v>0</c:v>
                </c:pt>
                <c:pt idx="11">
                  <c:v>0</c:v>
                </c:pt>
                <c:pt idx="12">
                  <c:v>1.0011000000000001</c:v>
                </c:pt>
                <c:pt idx="13">
                  <c:v>1.00092</c:v>
                </c:pt>
                <c:pt idx="14" formatCode="0.0000">
                  <c:v>1.0010599999999998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9A-4AEC-ACA1-F2AE53E9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3-403E-8D48-58E83AFC00A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8A3-403E-8D48-58E83AFC00A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8A3-403E-8D48-58E83AFC0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7-4BEF-BB19-C215E775F760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837-4BEF-BB19-C215E775F760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837-4BEF-BB19-C215E775F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'6'!$H$28:$H$37</c:f>
              <c:numCache>
                <c:formatCode>0.0000</c:formatCode>
                <c:ptCount val="10"/>
                <c:pt idx="0">
                  <c:v>7.5269999999999992</c:v>
                </c:pt>
                <c:pt idx="1">
                  <c:v>6.1030000000000006</c:v>
                </c:pt>
                <c:pt idx="2">
                  <c:v>3.44</c:v>
                </c:pt>
                <c:pt idx="3">
                  <c:v>1.17</c:v>
                </c:pt>
                <c:pt idx="4">
                  <c:v>0.91300000000000003</c:v>
                </c:pt>
                <c:pt idx="5">
                  <c:v>5.5169999999999995</c:v>
                </c:pt>
                <c:pt idx="6">
                  <c:v>4.6630000000000003</c:v>
                </c:pt>
                <c:pt idx="7">
                  <c:v>3.0700000000000003</c:v>
                </c:pt>
                <c:pt idx="8">
                  <c:v>1</c:v>
                </c:pt>
                <c:pt idx="9">
                  <c:v>0.83300000000000007</c:v>
                </c:pt>
              </c:numCache>
            </c:numRef>
          </c:xVal>
          <c:yVal>
            <c:numRef>
              <c:f>'6'!$I$28:$I$37</c:f>
              <c:numCache>
                <c:formatCode>0.0000</c:formatCode>
                <c:ptCount val="10"/>
                <c:pt idx="0">
                  <c:v>1.0017767</c:v>
                </c:pt>
                <c:pt idx="1">
                  <c:v>1.0017266999999999</c:v>
                </c:pt>
                <c:pt idx="2">
                  <c:v>1.0016700000000001</c:v>
                </c:pt>
                <c:pt idx="3">
                  <c:v>1.0010300000000001</c:v>
                </c:pt>
                <c:pt idx="4">
                  <c:v>1.0009999999999999</c:v>
                </c:pt>
                <c:pt idx="5">
                  <c:v>1.0013267000000001</c:v>
                </c:pt>
                <c:pt idx="6">
                  <c:v>1.0012367</c:v>
                </c:pt>
                <c:pt idx="7">
                  <c:v>1.0013099999999999</c:v>
                </c:pt>
                <c:pt idx="8">
                  <c:v>1.0009100000000002</c:v>
                </c:pt>
                <c:pt idx="9">
                  <c:v>1.0008899999999998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5-46E6-86F7-3B76898FCE09}"/>
            </c:ext>
          </c:extLst>
        </c:ser>
        <c:ser>
          <c:idx val="1"/>
          <c:order val="1"/>
          <c:tx>
            <c:strRef>
              <c:f>'6'!$M$7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5-46E6-86F7-3B76898FCE09}"/>
            </c:ext>
          </c:extLst>
        </c:ser>
        <c:ser>
          <c:idx val="2"/>
          <c:order val="2"/>
          <c:tx>
            <c:strRef>
              <c:f>'6'!$M$9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5-46E6-86F7-3B76898FCE0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5-46E6-86F7-3B76898FC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'6'!$M$6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9-4430-973E-1E7BDF67D581}"/>
            </c:ext>
          </c:extLst>
        </c:ser>
        <c:ser>
          <c:idx val="0"/>
          <c:order val="1"/>
          <c:tx>
            <c:strRef>
              <c:f>'6'!$M$27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'6'!$M$28:$M$42</c:f>
              <c:numCache>
                <c:formatCode>General</c:formatCode>
                <c:ptCount val="15"/>
                <c:pt idx="0">
                  <c:v>7.5269999999999992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5.5169999999999995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9.3670000000000009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'6'!$N$28:$N$42</c:f>
              <c:numCache>
                <c:formatCode>General</c:formatCode>
                <c:ptCount val="15"/>
                <c:pt idx="0">
                  <c:v>1.0017767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1.0013267000000001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1.0017767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9-4430-973E-1E7BDF67D581}"/>
            </c:ext>
          </c:extLst>
        </c:ser>
        <c:ser>
          <c:idx val="4"/>
          <c:order val="2"/>
          <c:tx>
            <c:strRef>
              <c:f>'6'!$M$9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09-4430-973E-1E7BDF67D581}"/>
            </c:ext>
          </c:extLst>
        </c:ser>
        <c:ser>
          <c:idx val="3"/>
          <c:order val="3"/>
          <c:tx>
            <c:strRef>
              <c:f>'6'!$O$27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'6'!$O$28:$O$42</c:f>
              <c:numCache>
                <c:formatCode>General</c:formatCode>
                <c:ptCount val="15"/>
                <c:pt idx="0">
                  <c:v>0</c:v>
                </c:pt>
                <c:pt idx="1">
                  <c:v>6.1030000000000006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4.6630000000000003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7.2030000000000003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'6'!$P$28:$P$42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1.0017266999999999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1.0012367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1.0016067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09-4430-973E-1E7BDF67D581}"/>
            </c:ext>
          </c:extLst>
        </c:ser>
        <c:ser>
          <c:idx val="1"/>
          <c:order val="4"/>
          <c:tx>
            <c:strRef>
              <c:f>'6'!$M$12:$M$13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'6'!$Q$12:$U$12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'6'!$Q$13:$U$13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09-4430-973E-1E7BDF67D581}"/>
            </c:ext>
          </c:extLst>
        </c:ser>
        <c:ser>
          <c:idx val="5"/>
          <c:order val="5"/>
          <c:tx>
            <c:strRef>
              <c:f>'6'!$Q$27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'6'!$Q$28:$Q$42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3.44</c:v>
                </c:pt>
                <c:pt idx="3">
                  <c:v>1.17</c:v>
                </c:pt>
                <c:pt idx="4" formatCode="0.0000">
                  <c:v>0.91300000000000003</c:v>
                </c:pt>
                <c:pt idx="5">
                  <c:v>0</c:v>
                </c:pt>
                <c:pt idx="6">
                  <c:v>0</c:v>
                </c:pt>
                <c:pt idx="7">
                  <c:v>3.0700000000000003</c:v>
                </c:pt>
                <c:pt idx="8">
                  <c:v>1</c:v>
                </c:pt>
                <c:pt idx="9" formatCode="0.0000">
                  <c:v>0.83300000000000007</c:v>
                </c:pt>
                <c:pt idx="10">
                  <c:v>0</c:v>
                </c:pt>
                <c:pt idx="11">
                  <c:v>0</c:v>
                </c:pt>
                <c:pt idx="12">
                  <c:v>4.25</c:v>
                </c:pt>
                <c:pt idx="13">
                  <c:v>1.9500000000000002</c:v>
                </c:pt>
                <c:pt idx="14" formatCode="0.0000">
                  <c:v>2.7730000000000001</c:v>
                </c:pt>
              </c:numCache>
            </c:numRef>
          </c:xVal>
          <c:yVal>
            <c:numRef>
              <c:f>'6'!$R$28:$R$42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1.0016700000000001</c:v>
                </c:pt>
                <c:pt idx="3">
                  <c:v>1.0010300000000001</c:v>
                </c:pt>
                <c:pt idx="4" formatCode="0.0000">
                  <c:v>1.0009999999999999</c:v>
                </c:pt>
                <c:pt idx="5">
                  <c:v>0</c:v>
                </c:pt>
                <c:pt idx="6">
                  <c:v>0</c:v>
                </c:pt>
                <c:pt idx="7">
                  <c:v>1.0013099999999999</c:v>
                </c:pt>
                <c:pt idx="8">
                  <c:v>1.0009100000000002</c:v>
                </c:pt>
                <c:pt idx="9" formatCode="0.0000">
                  <c:v>1.0008899999999998</c:v>
                </c:pt>
                <c:pt idx="10">
                  <c:v>0</c:v>
                </c:pt>
                <c:pt idx="11">
                  <c:v>0</c:v>
                </c:pt>
                <c:pt idx="12">
                  <c:v>1.0016799999999999</c:v>
                </c:pt>
                <c:pt idx="13">
                  <c:v>1.00116</c:v>
                </c:pt>
                <c:pt idx="14" formatCode="0.0000">
                  <c:v>1.0011999999999999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09-4430-973E-1E7BDF67D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7-4627-BD43-2958424F5FA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837-4627-BD43-2958424F5FA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837-4627-BD43-2958424F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4-4699-B1F8-CBEF13421D3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214-4699-B1F8-CBEF13421D3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214-4699-B1F8-CBEF13421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'7'!$H$28:$H$37</c:f>
              <c:numCache>
                <c:formatCode>0.0000</c:formatCode>
                <c:ptCount val="10"/>
                <c:pt idx="0">
                  <c:v>4.7770000000000001</c:v>
                </c:pt>
                <c:pt idx="1">
                  <c:v>4.2830000000000004</c:v>
                </c:pt>
                <c:pt idx="2">
                  <c:v>2.64</c:v>
                </c:pt>
                <c:pt idx="3">
                  <c:v>0.9</c:v>
                </c:pt>
                <c:pt idx="4">
                  <c:v>0.78300000000000003</c:v>
                </c:pt>
                <c:pt idx="5">
                  <c:v>8.8170000000000002</c:v>
                </c:pt>
                <c:pt idx="6">
                  <c:v>7.8029999999999999</c:v>
                </c:pt>
                <c:pt idx="7">
                  <c:v>4.6099999999999994</c:v>
                </c:pt>
                <c:pt idx="8">
                  <c:v>1.1499999999999999</c:v>
                </c:pt>
                <c:pt idx="9">
                  <c:v>0.91300000000000003</c:v>
                </c:pt>
              </c:numCache>
            </c:numRef>
          </c:xVal>
          <c:yVal>
            <c:numRef>
              <c:f>'7'!$I$28:$I$37</c:f>
              <c:numCache>
                <c:formatCode>0.0000</c:formatCode>
                <c:ptCount val="10"/>
                <c:pt idx="0">
                  <c:v>1.0013467</c:v>
                </c:pt>
                <c:pt idx="1">
                  <c:v>1.0012466999999998</c:v>
                </c:pt>
                <c:pt idx="2">
                  <c:v>1.00129</c:v>
                </c:pt>
                <c:pt idx="3">
                  <c:v>1.0008600000000001</c:v>
                </c:pt>
                <c:pt idx="4">
                  <c:v>1.00084</c:v>
                </c:pt>
                <c:pt idx="5">
                  <c:v>1.0019267000000001</c:v>
                </c:pt>
                <c:pt idx="6">
                  <c:v>1.0018166999999998</c:v>
                </c:pt>
                <c:pt idx="7">
                  <c:v>1.0018499999999999</c:v>
                </c:pt>
                <c:pt idx="8">
                  <c:v>1.0012700000000001</c:v>
                </c:pt>
                <c:pt idx="9">
                  <c:v>1.00118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F8-4DBA-9A04-B9E624105469}"/>
            </c:ext>
          </c:extLst>
        </c:ser>
        <c:ser>
          <c:idx val="1"/>
          <c:order val="1"/>
          <c:tx>
            <c:strRef>
              <c:f>'7'!$M$7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F8-4DBA-9A04-B9E624105469}"/>
            </c:ext>
          </c:extLst>
        </c:ser>
        <c:ser>
          <c:idx val="2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F8-4DBA-9A04-B9E62410546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F8-4DBA-9A04-B9E62410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'7'!$M$6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60-4BA5-B119-687DF768810D}"/>
            </c:ext>
          </c:extLst>
        </c:ser>
        <c:ser>
          <c:idx val="0"/>
          <c:order val="1"/>
          <c:tx>
            <c:strRef>
              <c:f>'7'!$M$27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'7'!$M$28:$M$42</c:f>
              <c:numCache>
                <c:formatCode>General</c:formatCode>
                <c:ptCount val="15"/>
                <c:pt idx="0">
                  <c:v>4.7770000000000001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8.8170000000000002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11.997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'7'!$N$28:$N$42</c:f>
              <c:numCache>
                <c:formatCode>General</c:formatCode>
                <c:ptCount val="15"/>
                <c:pt idx="0">
                  <c:v>1.0013467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1.0019267000000001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1.0021867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60-4BA5-B119-687DF768810D}"/>
            </c:ext>
          </c:extLst>
        </c:ser>
        <c:ser>
          <c:idx val="4"/>
          <c:order val="2"/>
          <c:tx>
            <c:strRef>
              <c:f>'7'!$M$9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60-4BA5-B119-687DF768810D}"/>
            </c:ext>
          </c:extLst>
        </c:ser>
        <c:ser>
          <c:idx val="3"/>
          <c:order val="3"/>
          <c:tx>
            <c:strRef>
              <c:f>'7'!$O$27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'7'!$O$28:$O$42</c:f>
              <c:numCache>
                <c:formatCode>General</c:formatCode>
                <c:ptCount val="15"/>
                <c:pt idx="0">
                  <c:v>0</c:v>
                </c:pt>
                <c:pt idx="1">
                  <c:v>4.2830000000000004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7.8029999999999999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9.5329999999999995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'7'!$P$28:$P$42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1.0012466999999998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1.0018166999999998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1.0020366999999999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60-4BA5-B119-687DF768810D}"/>
            </c:ext>
          </c:extLst>
        </c:ser>
        <c:ser>
          <c:idx val="1"/>
          <c:order val="4"/>
          <c:tx>
            <c:strRef>
              <c:f>'7'!$M$12:$M$13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'7'!$Q$12:$U$12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'7'!$Q$13:$U$13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60-4BA5-B119-687DF768810D}"/>
            </c:ext>
          </c:extLst>
        </c:ser>
        <c:ser>
          <c:idx val="5"/>
          <c:order val="5"/>
          <c:tx>
            <c:strRef>
              <c:f>'7'!$Q$27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'7'!$Q$28:$Q$42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2.64</c:v>
                </c:pt>
                <c:pt idx="3">
                  <c:v>0.9</c:v>
                </c:pt>
                <c:pt idx="4" formatCode="0.0000">
                  <c:v>0.78300000000000003</c:v>
                </c:pt>
                <c:pt idx="5">
                  <c:v>0</c:v>
                </c:pt>
                <c:pt idx="6">
                  <c:v>0</c:v>
                </c:pt>
                <c:pt idx="7">
                  <c:v>4.6099999999999994</c:v>
                </c:pt>
                <c:pt idx="8">
                  <c:v>1.1499999999999999</c:v>
                </c:pt>
                <c:pt idx="9" formatCode="0.0000">
                  <c:v>0.91300000000000003</c:v>
                </c:pt>
                <c:pt idx="10">
                  <c:v>0</c:v>
                </c:pt>
                <c:pt idx="11">
                  <c:v>0</c:v>
                </c:pt>
                <c:pt idx="12">
                  <c:v>5.41</c:v>
                </c:pt>
                <c:pt idx="13">
                  <c:v>2.27</c:v>
                </c:pt>
                <c:pt idx="14" formatCode="0.0000">
                  <c:v>3.4529999999999998</c:v>
                </c:pt>
              </c:numCache>
            </c:numRef>
          </c:xVal>
          <c:yVal>
            <c:numRef>
              <c:f>'7'!$R$28:$R$42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1.00129</c:v>
                </c:pt>
                <c:pt idx="3">
                  <c:v>1.0008600000000001</c:v>
                </c:pt>
                <c:pt idx="4" formatCode="0.0000">
                  <c:v>1.00084</c:v>
                </c:pt>
                <c:pt idx="5">
                  <c:v>0</c:v>
                </c:pt>
                <c:pt idx="6">
                  <c:v>0</c:v>
                </c:pt>
                <c:pt idx="7">
                  <c:v>1.0018499999999999</c:v>
                </c:pt>
                <c:pt idx="8">
                  <c:v>1.0012700000000001</c:v>
                </c:pt>
                <c:pt idx="9" formatCode="0.0000">
                  <c:v>1.00118</c:v>
                </c:pt>
                <c:pt idx="10">
                  <c:v>0</c:v>
                </c:pt>
                <c:pt idx="11">
                  <c:v>0</c:v>
                </c:pt>
                <c:pt idx="12">
                  <c:v>1.00207</c:v>
                </c:pt>
                <c:pt idx="13">
                  <c:v>1.00142</c:v>
                </c:pt>
                <c:pt idx="14" formatCode="0.0000">
                  <c:v>1.00153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60-4BA5-B119-687DF7688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B-457E-8978-2E86D15F8D0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4B-457E-8978-2E86D15F8D0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14B-457E-8978-2E86D15F8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E-493A-953F-1C40FFC5475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BFE-493A-953F-1C40FFC5475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BFE-493A-953F-1C40FFC54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'8'!$H$28:$H$37</c:f>
              <c:numCache>
                <c:formatCode>0.0000</c:formatCode>
                <c:ptCount val="10"/>
                <c:pt idx="0">
                  <c:v>4.7770000000000001</c:v>
                </c:pt>
                <c:pt idx="1">
                  <c:v>4.2430000000000003</c:v>
                </c:pt>
                <c:pt idx="2">
                  <c:v>3.15</c:v>
                </c:pt>
                <c:pt idx="3">
                  <c:v>1.1300000000000001</c:v>
                </c:pt>
                <c:pt idx="4">
                  <c:v>1.0529999999999999</c:v>
                </c:pt>
                <c:pt idx="5">
                  <c:v>8.4870000000000001</c:v>
                </c:pt>
                <c:pt idx="6">
                  <c:v>7.2430000000000003</c:v>
                </c:pt>
                <c:pt idx="7">
                  <c:v>4.25</c:v>
                </c:pt>
                <c:pt idx="8">
                  <c:v>1.1100000000000001</c:v>
                </c:pt>
                <c:pt idx="9">
                  <c:v>0.86299999999999999</c:v>
                </c:pt>
              </c:numCache>
            </c:numRef>
          </c:xVal>
          <c:yVal>
            <c:numRef>
              <c:f>'8'!$I$28:$I$37</c:f>
              <c:numCache>
                <c:formatCode>0.0000</c:formatCode>
                <c:ptCount val="10"/>
                <c:pt idx="0">
                  <c:v>1.0012867000000001</c:v>
                </c:pt>
                <c:pt idx="1">
                  <c:v>1.0011566999999999</c:v>
                </c:pt>
                <c:pt idx="2">
                  <c:v>1.00118</c:v>
                </c:pt>
                <c:pt idx="3">
                  <c:v>1.0009400000000002</c:v>
                </c:pt>
                <c:pt idx="4">
                  <c:v>1.00092</c:v>
                </c:pt>
                <c:pt idx="5">
                  <c:v>1.0018167</c:v>
                </c:pt>
                <c:pt idx="6">
                  <c:v>1.0017066999999999</c:v>
                </c:pt>
                <c:pt idx="7">
                  <c:v>1.0017499999999999</c:v>
                </c:pt>
                <c:pt idx="8">
                  <c:v>1.00116</c:v>
                </c:pt>
                <c:pt idx="9">
                  <c:v>1.0010999999999999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E7-4A28-9C46-FA40CC4A9577}"/>
            </c:ext>
          </c:extLst>
        </c:ser>
        <c:ser>
          <c:idx val="1"/>
          <c:order val="1"/>
          <c:tx>
            <c:strRef>
              <c:f>'8'!$M$7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E7-4A28-9C46-FA40CC4A9577}"/>
            </c:ext>
          </c:extLst>
        </c:ser>
        <c:ser>
          <c:idx val="2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E7-4A28-9C46-FA40CC4A957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E7-4A28-9C46-FA40CC4A9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'8'!$M$6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6-4EB5-A411-EABFB2E774B5}"/>
            </c:ext>
          </c:extLst>
        </c:ser>
        <c:ser>
          <c:idx val="0"/>
          <c:order val="1"/>
          <c:tx>
            <c:strRef>
              <c:f>'8'!$M$27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'8'!$M$28:$M$42</c:f>
              <c:numCache>
                <c:formatCode>General</c:formatCode>
                <c:ptCount val="15"/>
                <c:pt idx="0">
                  <c:v>4.7770000000000001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8.4870000000000001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11.056999999999999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'8'!$N$28:$N$42</c:f>
              <c:numCache>
                <c:formatCode>General</c:formatCode>
                <c:ptCount val="15"/>
                <c:pt idx="0">
                  <c:v>1.0012867000000001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1.0018167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1.0020467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6-4EB5-A411-EABFB2E774B5}"/>
            </c:ext>
          </c:extLst>
        </c:ser>
        <c:ser>
          <c:idx val="4"/>
          <c:order val="2"/>
          <c:tx>
            <c:strRef>
              <c:f>'8'!$M$9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56-4EB5-A411-EABFB2E774B5}"/>
            </c:ext>
          </c:extLst>
        </c:ser>
        <c:ser>
          <c:idx val="3"/>
          <c:order val="3"/>
          <c:tx>
            <c:strRef>
              <c:f>'8'!$O$27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'8'!$O$28:$O$42</c:f>
              <c:numCache>
                <c:formatCode>General</c:formatCode>
                <c:ptCount val="15"/>
                <c:pt idx="0">
                  <c:v>0</c:v>
                </c:pt>
                <c:pt idx="1">
                  <c:v>4.2430000000000003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7.2430000000000003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8.5030000000000001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'8'!$P$28:$P$42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1.0011566999999999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1.0017066999999999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1.0019566999999998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56-4EB5-A411-EABFB2E774B5}"/>
            </c:ext>
          </c:extLst>
        </c:ser>
        <c:ser>
          <c:idx val="1"/>
          <c:order val="4"/>
          <c:tx>
            <c:strRef>
              <c:f>'8'!$M$12:$M$13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'8'!$Q$12:$U$12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'8'!$Q$13:$U$13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56-4EB5-A411-EABFB2E774B5}"/>
            </c:ext>
          </c:extLst>
        </c:ser>
        <c:ser>
          <c:idx val="5"/>
          <c:order val="5"/>
          <c:tx>
            <c:strRef>
              <c:f>'8'!$Q$27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'8'!$Q$28:$Q$42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3.15</c:v>
                </c:pt>
                <c:pt idx="3">
                  <c:v>1.1300000000000001</c:v>
                </c:pt>
                <c:pt idx="4" formatCode="0.0000">
                  <c:v>1.0529999999999999</c:v>
                </c:pt>
                <c:pt idx="5">
                  <c:v>0</c:v>
                </c:pt>
                <c:pt idx="6">
                  <c:v>0</c:v>
                </c:pt>
                <c:pt idx="7">
                  <c:v>4.25</c:v>
                </c:pt>
                <c:pt idx="8">
                  <c:v>1.1100000000000001</c:v>
                </c:pt>
                <c:pt idx="9" formatCode="0.0000">
                  <c:v>0.86299999999999999</c:v>
                </c:pt>
                <c:pt idx="10">
                  <c:v>0</c:v>
                </c:pt>
                <c:pt idx="11">
                  <c:v>0</c:v>
                </c:pt>
                <c:pt idx="12">
                  <c:v>4.16</c:v>
                </c:pt>
                <c:pt idx="13">
                  <c:v>1.94</c:v>
                </c:pt>
                <c:pt idx="14" formatCode="0.0000">
                  <c:v>4.1829999999999998</c:v>
                </c:pt>
              </c:numCache>
            </c:numRef>
          </c:xVal>
          <c:yVal>
            <c:numRef>
              <c:f>'8'!$R$28:$R$42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1.00118</c:v>
                </c:pt>
                <c:pt idx="3">
                  <c:v>1.0009400000000002</c:v>
                </c:pt>
                <c:pt idx="4" formatCode="0.0000">
                  <c:v>1.00092</c:v>
                </c:pt>
                <c:pt idx="5">
                  <c:v>0</c:v>
                </c:pt>
                <c:pt idx="6">
                  <c:v>0</c:v>
                </c:pt>
                <c:pt idx="7">
                  <c:v>1.0017499999999999</c:v>
                </c:pt>
                <c:pt idx="8">
                  <c:v>1.00116</c:v>
                </c:pt>
                <c:pt idx="9" formatCode="0.0000">
                  <c:v>1.0010999999999999</c:v>
                </c:pt>
                <c:pt idx="10">
                  <c:v>0</c:v>
                </c:pt>
                <c:pt idx="11">
                  <c:v>0</c:v>
                </c:pt>
                <c:pt idx="12">
                  <c:v>1.0019500000000001</c:v>
                </c:pt>
                <c:pt idx="13">
                  <c:v>1.00129</c:v>
                </c:pt>
                <c:pt idx="14" formatCode="0.0000">
                  <c:v>1.0015699999999998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56-4EB5-A411-EABFB2E77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F9-4430-A5FB-9D0130FF962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0F9-4430-A5FB-9D0130FF962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0F9-4430-A5FB-9D0130FF9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7-43E4-87EA-D2557CC04FE4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407-43E4-87EA-D2557CC04FE4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407-43E4-87EA-D2557CC04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'9'!$H$28:$H$37</c:f>
              <c:numCache>
                <c:formatCode>0.0000</c:formatCode>
                <c:ptCount val="10"/>
                <c:pt idx="0">
                  <c:v>4.0369999999999999</c:v>
                </c:pt>
                <c:pt idx="1">
                  <c:v>3.6630000000000003</c:v>
                </c:pt>
                <c:pt idx="2">
                  <c:v>2.57</c:v>
                </c:pt>
                <c:pt idx="3">
                  <c:v>0.91</c:v>
                </c:pt>
                <c:pt idx="4">
                  <c:v>0.79300000000000004</c:v>
                </c:pt>
                <c:pt idx="5">
                  <c:v>10.617000000000001</c:v>
                </c:pt>
                <c:pt idx="6">
                  <c:v>8.4429999999999996</c:v>
                </c:pt>
                <c:pt idx="7">
                  <c:v>3.99</c:v>
                </c:pt>
                <c:pt idx="8">
                  <c:v>1.17</c:v>
                </c:pt>
                <c:pt idx="9">
                  <c:v>0.9930000000000001</c:v>
                </c:pt>
              </c:numCache>
            </c:numRef>
          </c:xVal>
          <c:yVal>
            <c:numRef>
              <c:f>'9'!$I$28:$I$37</c:f>
              <c:numCache>
                <c:formatCode>0.0000</c:formatCode>
                <c:ptCount val="10"/>
                <c:pt idx="0">
                  <c:v>1.0011667</c:v>
                </c:pt>
                <c:pt idx="1">
                  <c:v>1.0010967</c:v>
                </c:pt>
                <c:pt idx="2">
                  <c:v>1.0011300000000001</c:v>
                </c:pt>
                <c:pt idx="3">
                  <c:v>1.00082</c:v>
                </c:pt>
                <c:pt idx="4">
                  <c:v>1.0007999999999999</c:v>
                </c:pt>
                <c:pt idx="5">
                  <c:v>1.0021767000000001</c:v>
                </c:pt>
                <c:pt idx="6">
                  <c:v>1.0021566999999998</c:v>
                </c:pt>
                <c:pt idx="7">
                  <c:v>1.0020800000000001</c:v>
                </c:pt>
                <c:pt idx="8">
                  <c:v>1.0013100000000001</c:v>
                </c:pt>
                <c:pt idx="9">
                  <c:v>1.00125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2-45C4-B686-38F9109090E9}"/>
            </c:ext>
          </c:extLst>
        </c:ser>
        <c:ser>
          <c:idx val="1"/>
          <c:order val="1"/>
          <c:tx>
            <c:strRef>
              <c:f>'9'!$M$7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2-45C4-B686-38F9109090E9}"/>
            </c:ext>
          </c:extLst>
        </c:ser>
        <c:ser>
          <c:idx val="2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2-45C4-B686-38F9109090E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2-45C4-B686-38F910909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'9'!$M$6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C-4E9D-84C2-74994FBB367B}"/>
            </c:ext>
          </c:extLst>
        </c:ser>
        <c:ser>
          <c:idx val="0"/>
          <c:order val="1"/>
          <c:tx>
            <c:strRef>
              <c:f>'9'!$M$27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'9'!$M$28:$M$42</c:f>
              <c:numCache>
                <c:formatCode>General</c:formatCode>
                <c:ptCount val="15"/>
                <c:pt idx="0">
                  <c:v>4.0369999999999999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10.617000000000001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10.286999999999999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'9'!$N$28:$N$42</c:f>
              <c:numCache>
                <c:formatCode>General</c:formatCode>
                <c:ptCount val="15"/>
                <c:pt idx="0">
                  <c:v>1.0011667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1.0021767000000001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1.0019567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EC-4E9D-84C2-74994FBB367B}"/>
            </c:ext>
          </c:extLst>
        </c:ser>
        <c:ser>
          <c:idx val="4"/>
          <c:order val="2"/>
          <c:tx>
            <c:strRef>
              <c:f>'9'!$M$9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EC-4E9D-84C2-74994FBB367B}"/>
            </c:ext>
          </c:extLst>
        </c:ser>
        <c:ser>
          <c:idx val="3"/>
          <c:order val="3"/>
          <c:tx>
            <c:strRef>
              <c:f>'9'!$O$27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'9'!$O$28:$O$42</c:f>
              <c:numCache>
                <c:formatCode>General</c:formatCode>
                <c:ptCount val="15"/>
                <c:pt idx="0">
                  <c:v>0</c:v>
                </c:pt>
                <c:pt idx="1">
                  <c:v>3.6630000000000003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8.4429999999999996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8.4629999999999992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'9'!$P$28:$P$42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1.0010967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1.0021566999999998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1.0017566999999998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EC-4E9D-84C2-74994FBB367B}"/>
            </c:ext>
          </c:extLst>
        </c:ser>
        <c:ser>
          <c:idx val="1"/>
          <c:order val="4"/>
          <c:tx>
            <c:strRef>
              <c:f>'9'!$M$12:$M$13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'9'!$Q$12:$U$12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'9'!$Q$13:$U$13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EC-4E9D-84C2-74994FBB367B}"/>
            </c:ext>
          </c:extLst>
        </c:ser>
        <c:ser>
          <c:idx val="5"/>
          <c:order val="5"/>
          <c:tx>
            <c:strRef>
              <c:f>'9'!$Q$27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'9'!$Q$28:$Q$42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2.57</c:v>
                </c:pt>
                <c:pt idx="3">
                  <c:v>0.91</c:v>
                </c:pt>
                <c:pt idx="4" formatCode="0.0000">
                  <c:v>0.79300000000000004</c:v>
                </c:pt>
                <c:pt idx="5">
                  <c:v>0</c:v>
                </c:pt>
                <c:pt idx="6">
                  <c:v>0</c:v>
                </c:pt>
                <c:pt idx="7">
                  <c:v>3.99</c:v>
                </c:pt>
                <c:pt idx="8">
                  <c:v>1.17</c:v>
                </c:pt>
                <c:pt idx="9" formatCode="0.0000">
                  <c:v>0.9930000000000001</c:v>
                </c:pt>
                <c:pt idx="10">
                  <c:v>0</c:v>
                </c:pt>
                <c:pt idx="11">
                  <c:v>0</c:v>
                </c:pt>
                <c:pt idx="12">
                  <c:v>5.29</c:v>
                </c:pt>
                <c:pt idx="13">
                  <c:v>2.81</c:v>
                </c:pt>
                <c:pt idx="14" formatCode="0.0000">
                  <c:v>3.363</c:v>
                </c:pt>
              </c:numCache>
            </c:numRef>
          </c:xVal>
          <c:yVal>
            <c:numRef>
              <c:f>'9'!$R$28:$R$42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1.0011300000000001</c:v>
                </c:pt>
                <c:pt idx="3">
                  <c:v>1.00082</c:v>
                </c:pt>
                <c:pt idx="4" formatCode="0.0000">
                  <c:v>1.0007999999999999</c:v>
                </c:pt>
                <c:pt idx="5">
                  <c:v>0</c:v>
                </c:pt>
                <c:pt idx="6">
                  <c:v>0</c:v>
                </c:pt>
                <c:pt idx="7">
                  <c:v>1.0020800000000001</c:v>
                </c:pt>
                <c:pt idx="8">
                  <c:v>1.0013100000000001</c:v>
                </c:pt>
                <c:pt idx="9" formatCode="0.0000">
                  <c:v>1.00125</c:v>
                </c:pt>
                <c:pt idx="10">
                  <c:v>0</c:v>
                </c:pt>
                <c:pt idx="11">
                  <c:v>0</c:v>
                </c:pt>
                <c:pt idx="12">
                  <c:v>1.0018899999999999</c:v>
                </c:pt>
                <c:pt idx="13">
                  <c:v>1.0014500000000002</c:v>
                </c:pt>
                <c:pt idx="14" formatCode="0.0000">
                  <c:v>1.0015099999999999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EC-4E9D-84C2-74994FBB3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65-4893-B86E-1020525BE37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65-4893-B86E-1020525BE37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365-4893-B86E-1020525BE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54-4EA0-B9AA-1BED25E3C6CD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D54-4EA0-B9AA-1BED25E3C6CD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D54-4EA0-B9AA-1BED25E3C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'10'!$H$28:$H$37</c:f>
              <c:numCache>
                <c:formatCode>0.0000</c:formatCode>
                <c:ptCount val="10"/>
                <c:pt idx="0">
                  <c:v>7.0269999999999992</c:v>
                </c:pt>
                <c:pt idx="1">
                  <c:v>4.8230000000000004</c:v>
                </c:pt>
                <c:pt idx="2">
                  <c:v>2.88</c:v>
                </c:pt>
                <c:pt idx="3">
                  <c:v>0.9</c:v>
                </c:pt>
                <c:pt idx="4">
                  <c:v>0.81300000000000006</c:v>
                </c:pt>
                <c:pt idx="5">
                  <c:v>6.4169999999999998</c:v>
                </c:pt>
                <c:pt idx="6">
                  <c:v>5.4829999999999997</c:v>
                </c:pt>
                <c:pt idx="7">
                  <c:v>3.29</c:v>
                </c:pt>
                <c:pt idx="8">
                  <c:v>0.99</c:v>
                </c:pt>
                <c:pt idx="9">
                  <c:v>0.89300000000000002</c:v>
                </c:pt>
              </c:numCache>
            </c:numRef>
          </c:xVal>
          <c:yVal>
            <c:numRef>
              <c:f>'10'!$I$28:$I$37</c:f>
              <c:numCache>
                <c:formatCode>0.0000</c:formatCode>
                <c:ptCount val="10"/>
                <c:pt idx="0">
                  <c:v>1.0016267000000001</c:v>
                </c:pt>
                <c:pt idx="1">
                  <c:v>1.0013466999999998</c:v>
                </c:pt>
                <c:pt idx="2">
                  <c:v>1.00136</c:v>
                </c:pt>
                <c:pt idx="3">
                  <c:v>1.0008900000000001</c:v>
                </c:pt>
                <c:pt idx="4">
                  <c:v>1.0008599999999999</c:v>
                </c:pt>
                <c:pt idx="5">
                  <c:v>1.0016467</c:v>
                </c:pt>
                <c:pt idx="6">
                  <c:v>1.0015166999999998</c:v>
                </c:pt>
                <c:pt idx="7">
                  <c:v>1.0015000000000001</c:v>
                </c:pt>
                <c:pt idx="8">
                  <c:v>1.0010600000000001</c:v>
                </c:pt>
                <c:pt idx="9">
                  <c:v>1.00101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3-42F4-BF43-19DF53396805}"/>
            </c:ext>
          </c:extLst>
        </c:ser>
        <c:ser>
          <c:idx val="1"/>
          <c:order val="1"/>
          <c:tx>
            <c:strRef>
              <c:f>'10'!$M$7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E3-42F4-BF43-19DF53396805}"/>
            </c:ext>
          </c:extLst>
        </c:ser>
        <c:ser>
          <c:idx val="2"/>
          <c:order val="2"/>
          <c:tx>
            <c:strRef>
              <c:f>'10'!$M$9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E3-42F4-BF43-19DF5339680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E3-42F4-BF43-19DF53396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'10'!$M$6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43-495C-A5DD-AC46BFACF071}"/>
            </c:ext>
          </c:extLst>
        </c:ser>
        <c:ser>
          <c:idx val="0"/>
          <c:order val="1"/>
          <c:tx>
            <c:strRef>
              <c:f>'10'!$M$27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'10'!$M$28:$M$42</c:f>
              <c:numCache>
                <c:formatCode>General</c:formatCode>
                <c:ptCount val="15"/>
                <c:pt idx="0">
                  <c:v>7.0269999999999992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6.4169999999999998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8.2669999999999995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'10'!$N$28:$N$42</c:f>
              <c:numCache>
                <c:formatCode>General</c:formatCode>
                <c:ptCount val="15"/>
                <c:pt idx="0">
                  <c:v>1.0016267000000001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1.0016467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1.0016067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3-495C-A5DD-AC46BFACF071}"/>
            </c:ext>
          </c:extLst>
        </c:ser>
        <c:ser>
          <c:idx val="4"/>
          <c:order val="2"/>
          <c:tx>
            <c:strRef>
              <c:f>'10'!$M$9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43-495C-A5DD-AC46BFACF071}"/>
            </c:ext>
          </c:extLst>
        </c:ser>
        <c:ser>
          <c:idx val="3"/>
          <c:order val="3"/>
          <c:tx>
            <c:strRef>
              <c:f>'10'!$O$27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'10'!$O$28:$O$42</c:f>
              <c:numCache>
                <c:formatCode>General</c:formatCode>
                <c:ptCount val="15"/>
                <c:pt idx="0">
                  <c:v>0</c:v>
                </c:pt>
                <c:pt idx="1">
                  <c:v>4.8230000000000004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5.4829999999999997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6.3630000000000004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'10'!$P$28:$P$42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1.0013466999999998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1.0015166999999998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1.0015067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43-495C-A5DD-AC46BFACF071}"/>
            </c:ext>
          </c:extLst>
        </c:ser>
        <c:ser>
          <c:idx val="1"/>
          <c:order val="4"/>
          <c:tx>
            <c:strRef>
              <c:f>'10'!$M$12:$M$13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'10'!$Q$12:$U$12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'10'!$Q$13:$U$13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D43-495C-A5DD-AC46BFACF071}"/>
            </c:ext>
          </c:extLst>
        </c:ser>
        <c:ser>
          <c:idx val="5"/>
          <c:order val="5"/>
          <c:tx>
            <c:strRef>
              <c:f>'10'!$Q$27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'10'!$Q$28:$Q$42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2.88</c:v>
                </c:pt>
                <c:pt idx="3">
                  <c:v>0.9</c:v>
                </c:pt>
                <c:pt idx="4" formatCode="0.0000">
                  <c:v>0.81300000000000006</c:v>
                </c:pt>
                <c:pt idx="5">
                  <c:v>0</c:v>
                </c:pt>
                <c:pt idx="6">
                  <c:v>0</c:v>
                </c:pt>
                <c:pt idx="7">
                  <c:v>3.29</c:v>
                </c:pt>
                <c:pt idx="8">
                  <c:v>0.99</c:v>
                </c:pt>
                <c:pt idx="9" formatCode="0.0000">
                  <c:v>0.89300000000000002</c:v>
                </c:pt>
                <c:pt idx="10">
                  <c:v>0</c:v>
                </c:pt>
                <c:pt idx="11">
                  <c:v>0</c:v>
                </c:pt>
                <c:pt idx="12">
                  <c:v>3.68</c:v>
                </c:pt>
                <c:pt idx="13">
                  <c:v>0.9</c:v>
                </c:pt>
                <c:pt idx="14" formatCode="0.0000">
                  <c:v>2.923</c:v>
                </c:pt>
              </c:numCache>
            </c:numRef>
          </c:xVal>
          <c:yVal>
            <c:numRef>
              <c:f>'10'!$R$28:$R$42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1.00136</c:v>
                </c:pt>
                <c:pt idx="3">
                  <c:v>1.0008900000000001</c:v>
                </c:pt>
                <c:pt idx="4" formatCode="0.0000">
                  <c:v>1.0008599999999999</c:v>
                </c:pt>
                <c:pt idx="5">
                  <c:v>0</c:v>
                </c:pt>
                <c:pt idx="6">
                  <c:v>0</c:v>
                </c:pt>
                <c:pt idx="7">
                  <c:v>1.0015000000000001</c:v>
                </c:pt>
                <c:pt idx="8">
                  <c:v>1.0010600000000001</c:v>
                </c:pt>
                <c:pt idx="9" formatCode="0.0000">
                  <c:v>1.00101</c:v>
                </c:pt>
                <c:pt idx="10">
                  <c:v>0</c:v>
                </c:pt>
                <c:pt idx="11">
                  <c:v>0</c:v>
                </c:pt>
                <c:pt idx="12">
                  <c:v>1.00149</c:v>
                </c:pt>
                <c:pt idx="13">
                  <c:v>1.0009100000000002</c:v>
                </c:pt>
                <c:pt idx="14" formatCode="0.0000">
                  <c:v>1.00108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D43-495C-A5DD-AC46BFACF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3-47B6-A405-13B58352147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663-47B6-A405-13B58352147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663-47B6-A405-13B58352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03-43C2-9F42-504780EBA417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F03-43C2-9F42-504780EBA417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F03-43C2-9F42-504780EBA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'11'!$H$28:$H$37</c:f>
              <c:numCache>
                <c:formatCode>0.0000</c:formatCode>
                <c:ptCount val="10"/>
                <c:pt idx="0">
                  <c:v>9.4369999999999994</c:v>
                </c:pt>
                <c:pt idx="1">
                  <c:v>7.423</c:v>
                </c:pt>
                <c:pt idx="2">
                  <c:v>3.44</c:v>
                </c:pt>
                <c:pt idx="3">
                  <c:v>0.87000000000000011</c:v>
                </c:pt>
                <c:pt idx="4">
                  <c:v>0.78300000000000003</c:v>
                </c:pt>
                <c:pt idx="5">
                  <c:v>9.7669999999999995</c:v>
                </c:pt>
                <c:pt idx="6">
                  <c:v>8.4329999999999998</c:v>
                </c:pt>
                <c:pt idx="7">
                  <c:v>4.6399999999999997</c:v>
                </c:pt>
                <c:pt idx="8">
                  <c:v>1.29</c:v>
                </c:pt>
                <c:pt idx="9">
                  <c:v>1.2030000000000001</c:v>
                </c:pt>
              </c:numCache>
            </c:numRef>
          </c:xVal>
          <c:yVal>
            <c:numRef>
              <c:f>'11'!$I$28:$I$37</c:f>
              <c:numCache>
                <c:formatCode>0.0000</c:formatCode>
                <c:ptCount val="10"/>
                <c:pt idx="0">
                  <c:v>1.0019467</c:v>
                </c:pt>
                <c:pt idx="1">
                  <c:v>1.0019066999999999</c:v>
                </c:pt>
                <c:pt idx="2">
                  <c:v>1.00187</c:v>
                </c:pt>
                <c:pt idx="3">
                  <c:v>1.00119</c:v>
                </c:pt>
                <c:pt idx="4">
                  <c:v>1.00115</c:v>
                </c:pt>
                <c:pt idx="5">
                  <c:v>1.0019567</c:v>
                </c:pt>
                <c:pt idx="6">
                  <c:v>1.0019066999999999</c:v>
                </c:pt>
                <c:pt idx="7">
                  <c:v>1.0019400000000001</c:v>
                </c:pt>
                <c:pt idx="8">
                  <c:v>1.0013000000000001</c:v>
                </c:pt>
                <c:pt idx="9">
                  <c:v>1.0012299999999998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89-4323-8AE8-5FB4A81E0537}"/>
            </c:ext>
          </c:extLst>
        </c:ser>
        <c:ser>
          <c:idx val="1"/>
          <c:order val="1"/>
          <c:tx>
            <c:strRef>
              <c:f>'11'!$M$7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89-4323-8AE8-5FB4A81E0537}"/>
            </c:ext>
          </c:extLst>
        </c:ser>
        <c:ser>
          <c:idx val="2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89-4323-8AE8-5FB4A81E0537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89-4323-8AE8-5FB4A81E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'11'!$M$6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'11'!$Q$6:$U$6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'11'!$Q$7:$U$7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A-400D-B8F3-71C5FC6C036C}"/>
            </c:ext>
          </c:extLst>
        </c:ser>
        <c:ser>
          <c:idx val="0"/>
          <c:order val="1"/>
          <c:tx>
            <c:strRef>
              <c:f>'11'!$M$27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'11'!$M$28:$M$42</c:f>
              <c:numCache>
                <c:formatCode>General</c:formatCode>
                <c:ptCount val="15"/>
                <c:pt idx="0">
                  <c:v>9.4369999999999994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9.7669999999999995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10.397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'11'!$N$28:$N$42</c:f>
              <c:numCache>
                <c:formatCode>General</c:formatCode>
                <c:ptCount val="15"/>
                <c:pt idx="0">
                  <c:v>1.0019467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1.0019567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1.0014767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A-400D-B8F3-71C5FC6C036C}"/>
            </c:ext>
          </c:extLst>
        </c:ser>
        <c:ser>
          <c:idx val="4"/>
          <c:order val="2"/>
          <c:tx>
            <c:strRef>
              <c:f>'11'!$M$9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'11'!$Q$9:$U$9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'11'!$Q$10:$U$10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7A-400D-B8F3-71C5FC6C036C}"/>
            </c:ext>
          </c:extLst>
        </c:ser>
        <c:ser>
          <c:idx val="3"/>
          <c:order val="3"/>
          <c:tx>
            <c:strRef>
              <c:f>'11'!$O$27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'11'!$O$28:$O$42</c:f>
              <c:numCache>
                <c:formatCode>General</c:formatCode>
                <c:ptCount val="15"/>
                <c:pt idx="0">
                  <c:v>0</c:v>
                </c:pt>
                <c:pt idx="1">
                  <c:v>7.423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8.4329999999999998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7.8730000000000002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'11'!$P$28:$P$42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1.0019066999999999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1.0019066999999999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1.0013966999999999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A-400D-B8F3-71C5FC6C036C}"/>
            </c:ext>
          </c:extLst>
        </c:ser>
        <c:ser>
          <c:idx val="1"/>
          <c:order val="4"/>
          <c:tx>
            <c:strRef>
              <c:f>'11'!$M$12:$M$13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'11'!$Q$12:$U$12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'11'!$Q$13:$U$13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7A-400D-B8F3-71C5FC6C036C}"/>
            </c:ext>
          </c:extLst>
        </c:ser>
        <c:ser>
          <c:idx val="5"/>
          <c:order val="5"/>
          <c:tx>
            <c:strRef>
              <c:f>'11'!$Q$27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3.44</c:v>
                </c:pt>
                <c:pt idx="3">
                  <c:v>0.87000000000000011</c:v>
                </c:pt>
                <c:pt idx="4" formatCode="0.0000">
                  <c:v>0.78300000000000003</c:v>
                </c:pt>
                <c:pt idx="5">
                  <c:v>0</c:v>
                </c:pt>
                <c:pt idx="6">
                  <c:v>0</c:v>
                </c:pt>
                <c:pt idx="7">
                  <c:v>4.6399999999999997</c:v>
                </c:pt>
                <c:pt idx="8">
                  <c:v>1.29</c:v>
                </c:pt>
                <c:pt idx="9" formatCode="0.0000">
                  <c:v>1.2030000000000001</c:v>
                </c:pt>
                <c:pt idx="10">
                  <c:v>0</c:v>
                </c:pt>
                <c:pt idx="11">
                  <c:v>0</c:v>
                </c:pt>
                <c:pt idx="12">
                  <c:v>5.21</c:v>
                </c:pt>
                <c:pt idx="13">
                  <c:v>2.2200000000000002</c:v>
                </c:pt>
                <c:pt idx="14" formatCode="0.0000">
                  <c:v>2.7229999999999999</c:v>
                </c:pt>
              </c:numCache>
            </c:numRef>
          </c:xVal>
          <c:yVal>
            <c:numRef>
              <c:f>'11'!$R$28:$R$42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1.00187</c:v>
                </c:pt>
                <c:pt idx="3">
                  <c:v>1.00119</c:v>
                </c:pt>
                <c:pt idx="4" formatCode="0.0000">
                  <c:v>1.00115</c:v>
                </c:pt>
                <c:pt idx="5">
                  <c:v>0</c:v>
                </c:pt>
                <c:pt idx="6">
                  <c:v>0</c:v>
                </c:pt>
                <c:pt idx="7">
                  <c:v>1.0019400000000001</c:v>
                </c:pt>
                <c:pt idx="8">
                  <c:v>1.0013000000000001</c:v>
                </c:pt>
                <c:pt idx="9" formatCode="0.0000">
                  <c:v>1.0012299999999998</c:v>
                </c:pt>
                <c:pt idx="10">
                  <c:v>0</c:v>
                </c:pt>
                <c:pt idx="11">
                  <c:v>0</c:v>
                </c:pt>
                <c:pt idx="12">
                  <c:v>1.0014700000000001</c:v>
                </c:pt>
                <c:pt idx="13">
                  <c:v>1.0010400000000002</c:v>
                </c:pt>
                <c:pt idx="14" formatCode="0.0000">
                  <c:v>1.0010699999999999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7A-400D-B8F3-71C5FC6C0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F-419F-8D48-52EAB3E51919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5BF-419F-8D48-52EAB3E51919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5BF-419F-8D48-52EAB3E51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F-42FB-B3D0-7E75E7619009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EAF-42FB-B3D0-7E75E7619009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EAF-42FB-B3D0-7E75E761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'12'!$H$28:$H$37</c:f>
              <c:numCache>
                <c:formatCode>0.0000</c:formatCode>
                <c:ptCount val="10"/>
                <c:pt idx="0">
                  <c:v>8.9870000000000001</c:v>
                </c:pt>
                <c:pt idx="1">
                  <c:v>7.4329999999999998</c:v>
                </c:pt>
                <c:pt idx="2">
                  <c:v>3.77</c:v>
                </c:pt>
                <c:pt idx="3">
                  <c:v>0.93</c:v>
                </c:pt>
                <c:pt idx="4">
                  <c:v>1.0030000000000001</c:v>
                </c:pt>
                <c:pt idx="5">
                  <c:v>4.2770000000000001</c:v>
                </c:pt>
                <c:pt idx="6">
                  <c:v>3.8630000000000004</c:v>
                </c:pt>
                <c:pt idx="7">
                  <c:v>2.61</c:v>
                </c:pt>
                <c:pt idx="8">
                  <c:v>1.1499999999999999</c:v>
                </c:pt>
                <c:pt idx="9">
                  <c:v>1.0230000000000001</c:v>
                </c:pt>
              </c:numCache>
            </c:numRef>
          </c:xVal>
          <c:yVal>
            <c:numRef>
              <c:f>'12'!$I$28:$I$37</c:f>
              <c:numCache>
                <c:formatCode>0.0000</c:formatCode>
                <c:ptCount val="10"/>
                <c:pt idx="0">
                  <c:v>1.0018867</c:v>
                </c:pt>
                <c:pt idx="1">
                  <c:v>1.0018666999999999</c:v>
                </c:pt>
                <c:pt idx="2">
                  <c:v>1.00187</c:v>
                </c:pt>
                <c:pt idx="3">
                  <c:v>1.00116</c:v>
                </c:pt>
                <c:pt idx="4">
                  <c:v>0.99973999999999996</c:v>
                </c:pt>
                <c:pt idx="5">
                  <c:v>1.0013267000000001</c:v>
                </c:pt>
                <c:pt idx="6">
                  <c:v>1.0011466999999998</c:v>
                </c:pt>
                <c:pt idx="7">
                  <c:v>1.00115</c:v>
                </c:pt>
                <c:pt idx="8">
                  <c:v>1.0008300000000001</c:v>
                </c:pt>
                <c:pt idx="9">
                  <c:v>1.0008199999999998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F4-474D-ABC0-903323495185}"/>
            </c:ext>
          </c:extLst>
        </c:ser>
        <c:ser>
          <c:idx val="1"/>
          <c:order val="1"/>
          <c:tx>
            <c:strRef>
              <c:f>'12'!$M$7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F4-474D-ABC0-903323495185}"/>
            </c:ext>
          </c:extLst>
        </c:ser>
        <c:ser>
          <c:idx val="2"/>
          <c:order val="2"/>
          <c:tx>
            <c:strRef>
              <c:f>'12'!$M$9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F4-474D-ABC0-90332349518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F4-474D-ABC0-903323495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'12'!$M$6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'12'!$Q$6:$U$6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'12'!$Q$7:$U$7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36-4435-947F-28B95C728C70}"/>
            </c:ext>
          </c:extLst>
        </c:ser>
        <c:ser>
          <c:idx val="0"/>
          <c:order val="1"/>
          <c:tx>
            <c:strRef>
              <c:f>'12'!$M$27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'12'!$M$28:$M$42</c:f>
              <c:numCache>
                <c:formatCode>General</c:formatCode>
                <c:ptCount val="15"/>
                <c:pt idx="0">
                  <c:v>8.9870000000000001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4.2770000000000001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11.877000000000001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'12'!$N$28:$N$42</c:f>
              <c:numCache>
                <c:formatCode>General</c:formatCode>
                <c:ptCount val="15"/>
                <c:pt idx="0">
                  <c:v>1.0018867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1.0013267000000001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1.0020367000000001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36-4435-947F-28B95C728C70}"/>
            </c:ext>
          </c:extLst>
        </c:ser>
        <c:ser>
          <c:idx val="4"/>
          <c:order val="2"/>
          <c:tx>
            <c:strRef>
              <c:f>'12'!$M$9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'12'!$Q$9:$U$9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'12'!$Q$10:$U$10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36-4435-947F-28B95C728C70}"/>
            </c:ext>
          </c:extLst>
        </c:ser>
        <c:ser>
          <c:idx val="3"/>
          <c:order val="3"/>
          <c:tx>
            <c:strRef>
              <c:f>'12'!$O$27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'12'!$O$28:$O$42</c:f>
              <c:numCache>
                <c:formatCode>General</c:formatCode>
                <c:ptCount val="15"/>
                <c:pt idx="0">
                  <c:v>0</c:v>
                </c:pt>
                <c:pt idx="1">
                  <c:v>7.4329999999999998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3.8630000000000004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9.7530000000000001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'12'!$P$28:$P$42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1.0018666999999999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1.0011466999999998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1.0019566999999998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36-4435-947F-28B95C728C70}"/>
            </c:ext>
          </c:extLst>
        </c:ser>
        <c:ser>
          <c:idx val="1"/>
          <c:order val="4"/>
          <c:tx>
            <c:strRef>
              <c:f>'12'!$M$12:$M$13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'12'!$Q$12:$U$12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'12'!$Q$13:$U$13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36-4435-947F-28B95C728C70}"/>
            </c:ext>
          </c:extLst>
        </c:ser>
        <c:ser>
          <c:idx val="5"/>
          <c:order val="5"/>
          <c:tx>
            <c:strRef>
              <c:f>'12'!$Q$27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'12'!$Q$28:$Q$42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3.77</c:v>
                </c:pt>
                <c:pt idx="3">
                  <c:v>0.93</c:v>
                </c:pt>
                <c:pt idx="4" formatCode="0.0000">
                  <c:v>1.0030000000000001</c:v>
                </c:pt>
                <c:pt idx="5">
                  <c:v>0</c:v>
                </c:pt>
                <c:pt idx="6">
                  <c:v>0</c:v>
                </c:pt>
                <c:pt idx="7">
                  <c:v>2.61</c:v>
                </c:pt>
                <c:pt idx="8">
                  <c:v>1.1499999999999999</c:v>
                </c:pt>
                <c:pt idx="9" formatCode="0.0000">
                  <c:v>1.0230000000000001</c:v>
                </c:pt>
                <c:pt idx="10">
                  <c:v>0</c:v>
                </c:pt>
                <c:pt idx="11">
                  <c:v>0</c:v>
                </c:pt>
                <c:pt idx="12">
                  <c:v>6.05</c:v>
                </c:pt>
                <c:pt idx="13">
                  <c:v>2.93</c:v>
                </c:pt>
                <c:pt idx="14" formatCode="0.0000">
                  <c:v>3.7530000000000001</c:v>
                </c:pt>
              </c:numCache>
            </c:numRef>
          </c:xVal>
          <c:yVal>
            <c:numRef>
              <c:f>'12'!$R$28:$R$42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1.00187</c:v>
                </c:pt>
                <c:pt idx="3">
                  <c:v>1.00116</c:v>
                </c:pt>
                <c:pt idx="4" formatCode="0.0000">
                  <c:v>0.99973999999999996</c:v>
                </c:pt>
                <c:pt idx="5">
                  <c:v>0</c:v>
                </c:pt>
                <c:pt idx="6">
                  <c:v>0</c:v>
                </c:pt>
                <c:pt idx="7">
                  <c:v>1.00115</c:v>
                </c:pt>
                <c:pt idx="8">
                  <c:v>1.0008300000000001</c:v>
                </c:pt>
                <c:pt idx="9" formatCode="0.0000">
                  <c:v>1.0008199999999998</c:v>
                </c:pt>
                <c:pt idx="10">
                  <c:v>0</c:v>
                </c:pt>
                <c:pt idx="11">
                  <c:v>0</c:v>
                </c:pt>
                <c:pt idx="12">
                  <c:v>1.00204</c:v>
                </c:pt>
                <c:pt idx="13">
                  <c:v>1.0014700000000001</c:v>
                </c:pt>
                <c:pt idx="14" formatCode="0.0000">
                  <c:v>1.0015399999999999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36-4435-947F-28B95C728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4-44B6-ADB4-6C97B0C6C4E3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DE4-44B6-ADB4-6C97B0C6C4E3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DE4-44B6-ADB4-6C97B0C6C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6-412F-848C-902AD22FD07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1D6-412F-848C-902AD22FD07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1D6-412F-848C-902AD22FD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'13'!$H$28:$H$37</c:f>
              <c:numCache>
                <c:formatCode>0.0000</c:formatCode>
                <c:ptCount val="10"/>
                <c:pt idx="0">
                  <c:v>8.8970000000000002</c:v>
                </c:pt>
                <c:pt idx="1">
                  <c:v>6.7629999999999999</c:v>
                </c:pt>
                <c:pt idx="2">
                  <c:v>3.24</c:v>
                </c:pt>
                <c:pt idx="3">
                  <c:v>1.03</c:v>
                </c:pt>
                <c:pt idx="4">
                  <c:v>0.86299999999999999</c:v>
                </c:pt>
                <c:pt idx="5">
                  <c:v>5.1069999999999993</c:v>
                </c:pt>
                <c:pt idx="6">
                  <c:v>4.7430000000000003</c:v>
                </c:pt>
                <c:pt idx="7">
                  <c:v>2.97</c:v>
                </c:pt>
                <c:pt idx="8">
                  <c:v>0.84000000000000008</c:v>
                </c:pt>
                <c:pt idx="9">
                  <c:v>0.72300000000000009</c:v>
                </c:pt>
              </c:numCache>
            </c:numRef>
          </c:xVal>
          <c:yVal>
            <c:numRef>
              <c:f>'13'!$I$28:$I$37</c:f>
              <c:numCache>
                <c:formatCode>0.0000</c:formatCode>
                <c:ptCount val="10"/>
                <c:pt idx="0">
                  <c:v>1.0019867</c:v>
                </c:pt>
                <c:pt idx="1">
                  <c:v>1.0019167</c:v>
                </c:pt>
                <c:pt idx="2">
                  <c:v>1.0018</c:v>
                </c:pt>
                <c:pt idx="3">
                  <c:v>1.00122</c:v>
                </c:pt>
                <c:pt idx="4">
                  <c:v>1.00115</c:v>
                </c:pt>
                <c:pt idx="5">
                  <c:v>1.0013967000000001</c:v>
                </c:pt>
                <c:pt idx="6">
                  <c:v>1.0012866999999999</c:v>
                </c:pt>
                <c:pt idx="7">
                  <c:v>1.0013400000000001</c:v>
                </c:pt>
                <c:pt idx="8">
                  <c:v>1.0009600000000001</c:v>
                </c:pt>
                <c:pt idx="9">
                  <c:v>1.00091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4-40AC-ACE5-00FA3B78C5B9}"/>
            </c:ext>
          </c:extLst>
        </c:ser>
        <c:ser>
          <c:idx val="1"/>
          <c:order val="1"/>
          <c:tx>
            <c:strRef>
              <c:f>'13'!$M$7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C4-40AC-ACE5-00FA3B78C5B9}"/>
            </c:ext>
          </c:extLst>
        </c:ser>
        <c:ser>
          <c:idx val="2"/>
          <c:order val="2"/>
          <c:tx>
            <c:strRef>
              <c:f>'13'!$M$9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C4-40AC-ACE5-00FA3B78C5B9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C4-40AC-ACE5-00FA3B78C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'13'!$M$6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'13'!$Q$6:$U$6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'13'!$Q$7:$U$7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F-469E-9B70-84040F9B16F5}"/>
            </c:ext>
          </c:extLst>
        </c:ser>
        <c:ser>
          <c:idx val="0"/>
          <c:order val="1"/>
          <c:tx>
            <c:strRef>
              <c:f>'13'!$M$27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'13'!$M$28:$M$42</c:f>
              <c:numCache>
                <c:formatCode>General</c:formatCode>
                <c:ptCount val="15"/>
                <c:pt idx="0">
                  <c:v>8.8970000000000002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5.1069999999999993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11.457000000000001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'13'!$N$28:$N$42</c:f>
              <c:numCache>
                <c:formatCode>General</c:formatCode>
                <c:ptCount val="15"/>
                <c:pt idx="0">
                  <c:v>1.0019867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1.0013967000000001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1.0020467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EF-469E-9B70-84040F9B16F5}"/>
            </c:ext>
          </c:extLst>
        </c:ser>
        <c:ser>
          <c:idx val="4"/>
          <c:order val="2"/>
          <c:tx>
            <c:strRef>
              <c:f>'13'!$M$9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'13'!$Q$9:$U$9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'13'!$Q$10:$U$10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EF-469E-9B70-84040F9B16F5}"/>
            </c:ext>
          </c:extLst>
        </c:ser>
        <c:ser>
          <c:idx val="3"/>
          <c:order val="3"/>
          <c:tx>
            <c:strRef>
              <c:f>'13'!$O$27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'13'!$O$28:$O$42</c:f>
              <c:numCache>
                <c:formatCode>General</c:formatCode>
                <c:ptCount val="15"/>
                <c:pt idx="0">
                  <c:v>0</c:v>
                </c:pt>
                <c:pt idx="1">
                  <c:v>6.7629999999999999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4.7430000000000003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9.8529999999999998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'13'!$P$28:$P$42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1.0019167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1.0012866999999999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1.0019167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EF-469E-9B70-84040F9B16F5}"/>
            </c:ext>
          </c:extLst>
        </c:ser>
        <c:ser>
          <c:idx val="1"/>
          <c:order val="4"/>
          <c:tx>
            <c:strRef>
              <c:f>'13'!$M$12:$M$13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'13'!$Q$12:$U$12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'13'!$Q$13:$U$13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EF-469E-9B70-84040F9B16F5}"/>
            </c:ext>
          </c:extLst>
        </c:ser>
        <c:ser>
          <c:idx val="5"/>
          <c:order val="5"/>
          <c:tx>
            <c:strRef>
              <c:f>'13'!$Q$27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'13'!$Q$28:$Q$42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3.24</c:v>
                </c:pt>
                <c:pt idx="3">
                  <c:v>1.03</c:v>
                </c:pt>
                <c:pt idx="4" formatCode="0.0000">
                  <c:v>0.86299999999999999</c:v>
                </c:pt>
                <c:pt idx="5">
                  <c:v>0</c:v>
                </c:pt>
                <c:pt idx="6">
                  <c:v>0</c:v>
                </c:pt>
                <c:pt idx="7">
                  <c:v>2.97</c:v>
                </c:pt>
                <c:pt idx="8">
                  <c:v>0.84000000000000008</c:v>
                </c:pt>
                <c:pt idx="9" formatCode="0.0000">
                  <c:v>0.72300000000000009</c:v>
                </c:pt>
                <c:pt idx="10">
                  <c:v>0</c:v>
                </c:pt>
                <c:pt idx="11">
                  <c:v>0</c:v>
                </c:pt>
                <c:pt idx="12">
                  <c:v>6.98</c:v>
                </c:pt>
                <c:pt idx="13">
                  <c:v>1.57</c:v>
                </c:pt>
                <c:pt idx="14" formatCode="0.0000">
                  <c:v>1.5830000000000002</c:v>
                </c:pt>
              </c:numCache>
            </c:numRef>
          </c:xVal>
          <c:yVal>
            <c:numRef>
              <c:f>'13'!$R$28:$R$42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1.0018</c:v>
                </c:pt>
                <c:pt idx="3">
                  <c:v>1.00122</c:v>
                </c:pt>
                <c:pt idx="4" formatCode="0.0000">
                  <c:v>1.00115</c:v>
                </c:pt>
                <c:pt idx="5">
                  <c:v>0</c:v>
                </c:pt>
                <c:pt idx="6">
                  <c:v>0</c:v>
                </c:pt>
                <c:pt idx="7">
                  <c:v>1.0013400000000001</c:v>
                </c:pt>
                <c:pt idx="8">
                  <c:v>1.0009600000000001</c:v>
                </c:pt>
                <c:pt idx="9" formatCode="0.0000">
                  <c:v>1.00091</c:v>
                </c:pt>
                <c:pt idx="10">
                  <c:v>0</c:v>
                </c:pt>
                <c:pt idx="11">
                  <c:v>0</c:v>
                </c:pt>
                <c:pt idx="12">
                  <c:v>1.0019899999999999</c:v>
                </c:pt>
                <c:pt idx="13">
                  <c:v>1.0013800000000002</c:v>
                </c:pt>
                <c:pt idx="14" formatCode="0.0000">
                  <c:v>1.0012799999999999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EF-469E-9B70-84040F9B1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0-4404-BF62-F0ED9A31251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E80-4404-BF62-F0ED9A31251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E80-4404-BF62-F0ED9A31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D-4291-9FF9-C098B17D70B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72D-4291-9FF9-C098B17D70B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72D-4291-9FF9-C098B17D7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'14'!$H$28:$H$37</c:f>
              <c:numCache>
                <c:formatCode>0.0000</c:formatCode>
                <c:ptCount val="10"/>
                <c:pt idx="0">
                  <c:v>7.5469999999999997</c:v>
                </c:pt>
                <c:pt idx="1">
                  <c:v>6.1030000000000006</c:v>
                </c:pt>
                <c:pt idx="2">
                  <c:v>3.44</c:v>
                </c:pt>
                <c:pt idx="3">
                  <c:v>1.08</c:v>
                </c:pt>
                <c:pt idx="4">
                  <c:v>0.95300000000000007</c:v>
                </c:pt>
                <c:pt idx="5">
                  <c:v>6.867</c:v>
                </c:pt>
                <c:pt idx="6">
                  <c:v>6.2229999999999999</c:v>
                </c:pt>
                <c:pt idx="7">
                  <c:v>4.76</c:v>
                </c:pt>
                <c:pt idx="8">
                  <c:v>1.87</c:v>
                </c:pt>
                <c:pt idx="9">
                  <c:v>1.343</c:v>
                </c:pt>
              </c:numCache>
            </c:numRef>
          </c:xVal>
          <c:yVal>
            <c:numRef>
              <c:f>'14'!$I$28:$I$37</c:f>
              <c:numCache>
                <c:formatCode>0.0000</c:formatCode>
                <c:ptCount val="10"/>
                <c:pt idx="0">
                  <c:v>1.0017367000000001</c:v>
                </c:pt>
                <c:pt idx="1">
                  <c:v>1.0007576999999999</c:v>
                </c:pt>
                <c:pt idx="2">
                  <c:v>1.0016100000000001</c:v>
                </c:pt>
                <c:pt idx="3">
                  <c:v>1.0011000000000001</c:v>
                </c:pt>
                <c:pt idx="4">
                  <c:v>1.0010399999999999</c:v>
                </c:pt>
                <c:pt idx="5">
                  <c:v>1.0012667</c:v>
                </c:pt>
                <c:pt idx="6">
                  <c:v>1.0012566999999999</c:v>
                </c:pt>
                <c:pt idx="7">
                  <c:v>1.00139</c:v>
                </c:pt>
                <c:pt idx="8">
                  <c:v>1.00116</c:v>
                </c:pt>
                <c:pt idx="9">
                  <c:v>1.0011099999999999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1-417D-BEF4-8F7D3285628E}"/>
            </c:ext>
          </c:extLst>
        </c:ser>
        <c:ser>
          <c:idx val="1"/>
          <c:order val="1"/>
          <c:tx>
            <c:strRef>
              <c:f>'14'!$M$7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1-417D-BEF4-8F7D3285628E}"/>
            </c:ext>
          </c:extLst>
        </c:ser>
        <c:ser>
          <c:idx val="2"/>
          <c:order val="2"/>
          <c:tx>
            <c:strRef>
              <c:f>'14'!$M$9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1-417D-BEF4-8F7D3285628E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1-417D-BEF4-8F7D3285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'14'!$M$6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'14'!$Q$6:$U$6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'14'!$Q$7:$U$7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D6-444C-9095-9289ECD42139}"/>
            </c:ext>
          </c:extLst>
        </c:ser>
        <c:ser>
          <c:idx val="0"/>
          <c:order val="1"/>
          <c:tx>
            <c:strRef>
              <c:f>'14'!$M$27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'14'!$M$28:$M$42</c:f>
              <c:numCache>
                <c:formatCode>General</c:formatCode>
                <c:ptCount val="15"/>
                <c:pt idx="0">
                  <c:v>7.5469999999999997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6.867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11.397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'14'!$N$28:$N$42</c:f>
              <c:numCache>
                <c:formatCode>General</c:formatCode>
                <c:ptCount val="15"/>
                <c:pt idx="0">
                  <c:v>1.0017367000000001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1.0012667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1.0017967000000001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D6-444C-9095-9289ECD42139}"/>
            </c:ext>
          </c:extLst>
        </c:ser>
        <c:ser>
          <c:idx val="4"/>
          <c:order val="2"/>
          <c:tx>
            <c:strRef>
              <c:f>'14'!$M$9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'14'!$Q$9:$U$9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'14'!$Q$10:$U$10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D6-444C-9095-9289ECD42139}"/>
            </c:ext>
          </c:extLst>
        </c:ser>
        <c:ser>
          <c:idx val="3"/>
          <c:order val="3"/>
          <c:tx>
            <c:strRef>
              <c:f>'14'!$O$27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'14'!$O$28:$O$42</c:f>
              <c:numCache>
                <c:formatCode>General</c:formatCode>
                <c:ptCount val="15"/>
                <c:pt idx="0">
                  <c:v>0</c:v>
                </c:pt>
                <c:pt idx="1">
                  <c:v>6.1030000000000006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6.2229999999999999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9.4930000000000003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'14'!$P$28:$P$42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1.0007576999999999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1.0012566999999999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1.0015266999999999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D6-444C-9095-9289ECD42139}"/>
            </c:ext>
          </c:extLst>
        </c:ser>
        <c:ser>
          <c:idx val="1"/>
          <c:order val="4"/>
          <c:tx>
            <c:strRef>
              <c:f>'14'!$M$12:$M$13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'14'!$Q$12:$U$12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'14'!$Q$13:$U$13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D6-444C-9095-9289ECD42139}"/>
            </c:ext>
          </c:extLst>
        </c:ser>
        <c:ser>
          <c:idx val="5"/>
          <c:order val="5"/>
          <c:tx>
            <c:strRef>
              <c:f>'14'!$Q$27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'14'!$Q$28:$Q$42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3.44</c:v>
                </c:pt>
                <c:pt idx="3">
                  <c:v>1.08</c:v>
                </c:pt>
                <c:pt idx="4" formatCode="0.0000">
                  <c:v>0.95300000000000007</c:v>
                </c:pt>
                <c:pt idx="5">
                  <c:v>0</c:v>
                </c:pt>
                <c:pt idx="6">
                  <c:v>0</c:v>
                </c:pt>
                <c:pt idx="7">
                  <c:v>4.76</c:v>
                </c:pt>
                <c:pt idx="8">
                  <c:v>1.87</c:v>
                </c:pt>
                <c:pt idx="9" formatCode="0.0000">
                  <c:v>1.343</c:v>
                </c:pt>
                <c:pt idx="10">
                  <c:v>0</c:v>
                </c:pt>
                <c:pt idx="11">
                  <c:v>0</c:v>
                </c:pt>
                <c:pt idx="12">
                  <c:v>5.44</c:v>
                </c:pt>
                <c:pt idx="13">
                  <c:v>2.27</c:v>
                </c:pt>
                <c:pt idx="14" formatCode="0.0000">
                  <c:v>2.7730000000000001</c:v>
                </c:pt>
              </c:numCache>
            </c:numRef>
          </c:xVal>
          <c:yVal>
            <c:numRef>
              <c:f>'14'!$R$28:$R$42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1.0016100000000001</c:v>
                </c:pt>
                <c:pt idx="3">
                  <c:v>1.0011000000000001</c:v>
                </c:pt>
                <c:pt idx="4" formatCode="0.0000">
                  <c:v>1.0010399999999999</c:v>
                </c:pt>
                <c:pt idx="5">
                  <c:v>0</c:v>
                </c:pt>
                <c:pt idx="6">
                  <c:v>0</c:v>
                </c:pt>
                <c:pt idx="7">
                  <c:v>1.00139</c:v>
                </c:pt>
                <c:pt idx="8">
                  <c:v>1.00116</c:v>
                </c:pt>
                <c:pt idx="9" formatCode="0.0000">
                  <c:v>1.0011099999999999</c:v>
                </c:pt>
                <c:pt idx="10">
                  <c:v>0</c:v>
                </c:pt>
                <c:pt idx="11">
                  <c:v>0</c:v>
                </c:pt>
                <c:pt idx="12">
                  <c:v>1.0017199999999999</c:v>
                </c:pt>
                <c:pt idx="13">
                  <c:v>0.99963000000000013</c:v>
                </c:pt>
                <c:pt idx="14" formatCode="0.0000">
                  <c:v>1.0012099999999999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D6-444C-9095-9289ECD42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1B-4DDA-B64E-24542DFE92EC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C1B-4DDA-B64E-24542DFE92EC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C1B-4DDA-B64E-24542DFE9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5-4A87-BBD9-1A32EF2FEE1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825-4A87-BBD9-1A32EF2FEE1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825-4A87-BBD9-1A32EF2FE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'15'!$H$28:$H$37</c:f>
              <c:numCache>
                <c:formatCode>0.0000</c:formatCode>
                <c:ptCount val="10"/>
                <c:pt idx="0">
                  <c:v>7.9470000000000001</c:v>
                </c:pt>
                <c:pt idx="1">
                  <c:v>7.5830000000000002</c:v>
                </c:pt>
                <c:pt idx="2">
                  <c:v>4.63</c:v>
                </c:pt>
                <c:pt idx="3">
                  <c:v>1.6800000000000002</c:v>
                </c:pt>
                <c:pt idx="4">
                  <c:v>2.2830000000000004</c:v>
                </c:pt>
                <c:pt idx="5">
                  <c:v>15.106999999999999</c:v>
                </c:pt>
                <c:pt idx="6">
                  <c:v>11.062999999999999</c:v>
                </c:pt>
                <c:pt idx="7">
                  <c:v>6.99</c:v>
                </c:pt>
                <c:pt idx="8">
                  <c:v>3.5500000000000003</c:v>
                </c:pt>
                <c:pt idx="9">
                  <c:v>3.093</c:v>
                </c:pt>
              </c:numCache>
            </c:numRef>
          </c:xVal>
          <c:yVal>
            <c:numRef>
              <c:f>'15'!$I$28:$I$37</c:f>
              <c:numCache>
                <c:formatCode>0.0000</c:formatCode>
                <c:ptCount val="10"/>
                <c:pt idx="0">
                  <c:v>1.0015167</c:v>
                </c:pt>
                <c:pt idx="1">
                  <c:v>1.0015966999999999</c:v>
                </c:pt>
                <c:pt idx="2">
                  <c:v>1.00169</c:v>
                </c:pt>
                <c:pt idx="3">
                  <c:v>1.0012100000000002</c:v>
                </c:pt>
                <c:pt idx="4">
                  <c:v>1.0012299999999998</c:v>
                </c:pt>
                <c:pt idx="5">
                  <c:v>1.0019067000000001</c:v>
                </c:pt>
                <c:pt idx="6">
                  <c:v>1.0018986999999999</c:v>
                </c:pt>
                <c:pt idx="7">
                  <c:v>1.0019800000000001</c:v>
                </c:pt>
                <c:pt idx="8">
                  <c:v>1.00149</c:v>
                </c:pt>
                <c:pt idx="9">
                  <c:v>1.00173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6-4EA8-9FAE-68ACD958529A}"/>
            </c:ext>
          </c:extLst>
        </c:ser>
        <c:ser>
          <c:idx val="1"/>
          <c:order val="1"/>
          <c:tx>
            <c:strRef>
              <c:f>'15'!$M$7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D6-4EA8-9FAE-68ACD958529A}"/>
            </c:ext>
          </c:extLst>
        </c:ser>
        <c:ser>
          <c:idx val="2"/>
          <c:order val="2"/>
          <c:tx>
            <c:strRef>
              <c:f>'15'!$M$9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D6-4EA8-9FAE-68ACD958529A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D6-4EA8-9FAE-68ACD9585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'15'!$M$6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'15'!$Q$6:$U$6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'15'!$Q$7:$U$7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B4-4E71-BB4C-B9D5093BD05E}"/>
            </c:ext>
          </c:extLst>
        </c:ser>
        <c:ser>
          <c:idx val="0"/>
          <c:order val="1"/>
          <c:tx>
            <c:strRef>
              <c:f>'15'!$M$27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'15'!$M$28:$M$42</c:f>
              <c:numCache>
                <c:formatCode>General</c:formatCode>
                <c:ptCount val="15"/>
                <c:pt idx="0">
                  <c:v>7.9470000000000001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15.106999999999999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12.456999999999999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'15'!$N$28:$N$42</c:f>
              <c:numCache>
                <c:formatCode>General</c:formatCode>
                <c:ptCount val="15"/>
                <c:pt idx="0">
                  <c:v>1.0015167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1.0019067000000001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1.0018667000000001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4-4E71-BB4C-B9D5093BD05E}"/>
            </c:ext>
          </c:extLst>
        </c:ser>
        <c:ser>
          <c:idx val="4"/>
          <c:order val="2"/>
          <c:tx>
            <c:strRef>
              <c:f>'15'!$M$9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'15'!$Q$9:$U$9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'15'!$Q$10:$U$10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B4-4E71-BB4C-B9D5093BD05E}"/>
            </c:ext>
          </c:extLst>
        </c:ser>
        <c:ser>
          <c:idx val="3"/>
          <c:order val="3"/>
          <c:tx>
            <c:strRef>
              <c:f>'15'!$O$27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'15'!$O$28:$O$42</c:f>
              <c:numCache>
                <c:formatCode>General</c:formatCode>
                <c:ptCount val="15"/>
                <c:pt idx="0">
                  <c:v>0</c:v>
                </c:pt>
                <c:pt idx="1">
                  <c:v>7.5830000000000002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11.062999999999999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9.9029999999999987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'15'!$P$28:$P$42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1.0015966999999999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1.0018986999999999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1.0017767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B4-4E71-BB4C-B9D5093BD05E}"/>
            </c:ext>
          </c:extLst>
        </c:ser>
        <c:ser>
          <c:idx val="1"/>
          <c:order val="4"/>
          <c:tx>
            <c:strRef>
              <c:f>'15'!$M$12:$M$13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'15'!$Q$12:$U$12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'15'!$Q$13:$U$13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B4-4E71-BB4C-B9D5093BD05E}"/>
            </c:ext>
          </c:extLst>
        </c:ser>
        <c:ser>
          <c:idx val="5"/>
          <c:order val="5"/>
          <c:tx>
            <c:strRef>
              <c:f>'15'!$Q$27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'15'!$Q$28:$Q$42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4.63</c:v>
                </c:pt>
                <c:pt idx="3">
                  <c:v>1.6800000000000002</c:v>
                </c:pt>
                <c:pt idx="4" formatCode="0.0000">
                  <c:v>2.2830000000000004</c:v>
                </c:pt>
                <c:pt idx="5">
                  <c:v>0</c:v>
                </c:pt>
                <c:pt idx="6">
                  <c:v>0</c:v>
                </c:pt>
                <c:pt idx="7">
                  <c:v>6.99</c:v>
                </c:pt>
                <c:pt idx="8">
                  <c:v>3.5500000000000003</c:v>
                </c:pt>
                <c:pt idx="9" formatCode="0.0000">
                  <c:v>3.093</c:v>
                </c:pt>
                <c:pt idx="10">
                  <c:v>0</c:v>
                </c:pt>
                <c:pt idx="11">
                  <c:v>0</c:v>
                </c:pt>
                <c:pt idx="12">
                  <c:v>5.5600000000000005</c:v>
                </c:pt>
                <c:pt idx="13">
                  <c:v>3.1100000000000003</c:v>
                </c:pt>
                <c:pt idx="14" formatCode="0.0000">
                  <c:v>4.0329999999999995</c:v>
                </c:pt>
              </c:numCache>
            </c:numRef>
          </c:xVal>
          <c:yVal>
            <c:numRef>
              <c:f>'15'!$R$28:$R$42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1.00169</c:v>
                </c:pt>
                <c:pt idx="3">
                  <c:v>1.0012100000000002</c:v>
                </c:pt>
                <c:pt idx="4" formatCode="0.0000">
                  <c:v>1.0012299999999998</c:v>
                </c:pt>
                <c:pt idx="5">
                  <c:v>0</c:v>
                </c:pt>
                <c:pt idx="6">
                  <c:v>0</c:v>
                </c:pt>
                <c:pt idx="7">
                  <c:v>1.0019800000000001</c:v>
                </c:pt>
                <c:pt idx="8">
                  <c:v>1.00149</c:v>
                </c:pt>
                <c:pt idx="9" formatCode="0.0000">
                  <c:v>1.00173</c:v>
                </c:pt>
                <c:pt idx="10">
                  <c:v>0</c:v>
                </c:pt>
                <c:pt idx="11">
                  <c:v>0</c:v>
                </c:pt>
                <c:pt idx="12">
                  <c:v>1.00186</c:v>
                </c:pt>
                <c:pt idx="13">
                  <c:v>1.00139</c:v>
                </c:pt>
                <c:pt idx="14" formatCode="0.0000">
                  <c:v>1.0014699999999999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B4-4E71-BB4C-B9D5093BD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0F-4CC3-AB5C-074EBD152F7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B0F-4CC3-AB5C-074EBD152F7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B0F-4CC3-AB5C-074EBD15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4-4A10-BC72-F83087E0584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864-4A10-BC72-F83087E0584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864-4A10-BC72-F83087E05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'16'!$H$28:$H$37</c:f>
              <c:numCache>
                <c:formatCode>0.0000</c:formatCode>
                <c:ptCount val="10"/>
                <c:pt idx="0">
                  <c:v>7.4969999999999999</c:v>
                </c:pt>
                <c:pt idx="1">
                  <c:v>6.5129999999999999</c:v>
                </c:pt>
                <c:pt idx="2">
                  <c:v>3.87</c:v>
                </c:pt>
                <c:pt idx="3">
                  <c:v>1.3</c:v>
                </c:pt>
                <c:pt idx="4">
                  <c:v>1.2130000000000001</c:v>
                </c:pt>
                <c:pt idx="5">
                  <c:v>2.4269999999999996</c:v>
                </c:pt>
                <c:pt idx="6">
                  <c:v>3.8929999999999998</c:v>
                </c:pt>
                <c:pt idx="7">
                  <c:v>2.67</c:v>
                </c:pt>
                <c:pt idx="8">
                  <c:v>0.9</c:v>
                </c:pt>
                <c:pt idx="9">
                  <c:v>0.623</c:v>
                </c:pt>
              </c:numCache>
            </c:numRef>
          </c:xVal>
          <c:yVal>
            <c:numRef>
              <c:f>'16'!$I$28:$I$37</c:f>
              <c:numCache>
                <c:formatCode>0.0000</c:formatCode>
                <c:ptCount val="10"/>
                <c:pt idx="0">
                  <c:v>1.0016067</c:v>
                </c:pt>
                <c:pt idx="1">
                  <c:v>1.0015166999999998</c:v>
                </c:pt>
                <c:pt idx="2">
                  <c:v>1.0015499999999999</c:v>
                </c:pt>
                <c:pt idx="3">
                  <c:v>1.0010700000000001</c:v>
                </c:pt>
                <c:pt idx="4">
                  <c:v>1.0010399999999999</c:v>
                </c:pt>
                <c:pt idx="5">
                  <c:v>1.0016567000000001</c:v>
                </c:pt>
                <c:pt idx="6">
                  <c:v>1.0016566999999998</c:v>
                </c:pt>
                <c:pt idx="7">
                  <c:v>1.0016700000000001</c:v>
                </c:pt>
                <c:pt idx="8">
                  <c:v>1.0014500000000002</c:v>
                </c:pt>
                <c:pt idx="9">
                  <c:v>1.0013999999999998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4-4109-94FD-F27699F809AA}"/>
            </c:ext>
          </c:extLst>
        </c:ser>
        <c:ser>
          <c:idx val="1"/>
          <c:order val="1"/>
          <c:tx>
            <c:strRef>
              <c:f>'16'!$M$7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94-4109-94FD-F27699F809AA}"/>
            </c:ext>
          </c:extLst>
        </c:ser>
        <c:ser>
          <c:idx val="2"/>
          <c:order val="2"/>
          <c:tx>
            <c:strRef>
              <c:f>'16'!$M$9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94-4109-94FD-F27699F809AA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94-4109-94FD-F27699F80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'16'!$M$6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'16'!$Q$6:$U$6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'16'!$Q$7:$U$7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E-411F-A76E-45B0864851F4}"/>
            </c:ext>
          </c:extLst>
        </c:ser>
        <c:ser>
          <c:idx val="0"/>
          <c:order val="1"/>
          <c:tx>
            <c:strRef>
              <c:f>'16'!$M$27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'16'!$M$28:$M$42</c:f>
              <c:numCache>
                <c:formatCode>General</c:formatCode>
                <c:ptCount val="15"/>
                <c:pt idx="0">
                  <c:v>7.4969999999999999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2.4269999999999996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9.9169999999999998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'16'!$N$28:$N$42</c:f>
              <c:numCache>
                <c:formatCode>General</c:formatCode>
                <c:ptCount val="15"/>
                <c:pt idx="0">
                  <c:v>1.0016067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1.0016567000000001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1.0018567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E-411F-A76E-45B0864851F4}"/>
            </c:ext>
          </c:extLst>
        </c:ser>
        <c:ser>
          <c:idx val="4"/>
          <c:order val="2"/>
          <c:tx>
            <c:strRef>
              <c:f>'16'!$M$9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'16'!$Q$9:$U$9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'16'!$Q$10:$U$10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FE-411F-A76E-45B0864851F4}"/>
            </c:ext>
          </c:extLst>
        </c:ser>
        <c:ser>
          <c:idx val="3"/>
          <c:order val="3"/>
          <c:tx>
            <c:strRef>
              <c:f>'16'!$O$27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'16'!$O$28:$O$42</c:f>
              <c:numCache>
                <c:formatCode>General</c:formatCode>
                <c:ptCount val="15"/>
                <c:pt idx="0">
                  <c:v>0</c:v>
                </c:pt>
                <c:pt idx="1">
                  <c:v>6.5129999999999999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3.8929999999999998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8.6929999999999996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'16'!$P$28:$P$42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1.0015166999999998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1.0016566999999998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1.0018566999999998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FE-411F-A76E-45B0864851F4}"/>
            </c:ext>
          </c:extLst>
        </c:ser>
        <c:ser>
          <c:idx val="1"/>
          <c:order val="4"/>
          <c:tx>
            <c:strRef>
              <c:f>'16'!$M$12:$M$13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'16'!$Q$12:$U$12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'16'!$Q$13:$U$13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FE-411F-A76E-45B0864851F4}"/>
            </c:ext>
          </c:extLst>
        </c:ser>
        <c:ser>
          <c:idx val="5"/>
          <c:order val="5"/>
          <c:tx>
            <c:strRef>
              <c:f>'16'!$Q$27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'16'!$Q$28:$Q$42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3.87</c:v>
                </c:pt>
                <c:pt idx="3">
                  <c:v>1.3</c:v>
                </c:pt>
                <c:pt idx="4" formatCode="0.0000">
                  <c:v>1.2130000000000001</c:v>
                </c:pt>
                <c:pt idx="5">
                  <c:v>0</c:v>
                </c:pt>
                <c:pt idx="6">
                  <c:v>0</c:v>
                </c:pt>
                <c:pt idx="7">
                  <c:v>2.67</c:v>
                </c:pt>
                <c:pt idx="8">
                  <c:v>0.9</c:v>
                </c:pt>
                <c:pt idx="9" formatCode="0.0000">
                  <c:v>0.623</c:v>
                </c:pt>
                <c:pt idx="10">
                  <c:v>0</c:v>
                </c:pt>
                <c:pt idx="11">
                  <c:v>0</c:v>
                </c:pt>
                <c:pt idx="12">
                  <c:v>5.63</c:v>
                </c:pt>
                <c:pt idx="13">
                  <c:v>3.95</c:v>
                </c:pt>
                <c:pt idx="14" formatCode="0.0000">
                  <c:v>5.4530000000000003</c:v>
                </c:pt>
              </c:numCache>
            </c:numRef>
          </c:xVal>
          <c:yVal>
            <c:numRef>
              <c:f>'16'!$R$28:$R$42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1.0015499999999999</c:v>
                </c:pt>
                <c:pt idx="3">
                  <c:v>1.0010700000000001</c:v>
                </c:pt>
                <c:pt idx="4" formatCode="0.0000">
                  <c:v>1.0010399999999999</c:v>
                </c:pt>
                <c:pt idx="5">
                  <c:v>0</c:v>
                </c:pt>
                <c:pt idx="6">
                  <c:v>0</c:v>
                </c:pt>
                <c:pt idx="7">
                  <c:v>1.0016700000000001</c:v>
                </c:pt>
                <c:pt idx="8">
                  <c:v>1.0014500000000002</c:v>
                </c:pt>
                <c:pt idx="9" formatCode="0.0000">
                  <c:v>1.0013999999999998</c:v>
                </c:pt>
                <c:pt idx="10">
                  <c:v>0</c:v>
                </c:pt>
                <c:pt idx="11">
                  <c:v>0</c:v>
                </c:pt>
                <c:pt idx="12">
                  <c:v>1.0018800000000001</c:v>
                </c:pt>
                <c:pt idx="13">
                  <c:v>1.0016100000000001</c:v>
                </c:pt>
                <c:pt idx="14" formatCode="0.0000">
                  <c:v>1.0016799999999999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FE-411F-A76E-45B086485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1-4CE3-AE93-89FB6FCD23C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D1-4CE3-AE93-89FB6FCD23C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D1-4CE3-AE93-89FB6FCD2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D-4844-975E-0083B96575D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32D-4844-975E-0083B96575D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32D-4844-975E-0083B965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'17'!$H$28:$H$37</c:f>
              <c:numCache>
                <c:formatCode>0.0000</c:formatCode>
                <c:ptCount val="10"/>
                <c:pt idx="0">
                  <c:v>7.9369999999999994</c:v>
                </c:pt>
                <c:pt idx="1">
                  <c:v>6.3330000000000002</c:v>
                </c:pt>
                <c:pt idx="2">
                  <c:v>3.4</c:v>
                </c:pt>
                <c:pt idx="3">
                  <c:v>0.97</c:v>
                </c:pt>
                <c:pt idx="4">
                  <c:v>0.77300000000000002</c:v>
                </c:pt>
                <c:pt idx="5">
                  <c:v>7.0169999999999995</c:v>
                </c:pt>
                <c:pt idx="6">
                  <c:v>6.133</c:v>
                </c:pt>
                <c:pt idx="7">
                  <c:v>3.67</c:v>
                </c:pt>
                <c:pt idx="8">
                  <c:v>1</c:v>
                </c:pt>
                <c:pt idx="9">
                  <c:v>0.71300000000000008</c:v>
                </c:pt>
              </c:numCache>
            </c:numRef>
          </c:xVal>
          <c:yVal>
            <c:numRef>
              <c:f>'17'!$I$28:$I$37</c:f>
              <c:numCache>
                <c:formatCode>0.0000</c:formatCode>
                <c:ptCount val="10"/>
                <c:pt idx="0">
                  <c:v>1.0016967000000001</c:v>
                </c:pt>
                <c:pt idx="1">
                  <c:v>1.0016666999999999</c:v>
                </c:pt>
                <c:pt idx="2">
                  <c:v>1.00162</c:v>
                </c:pt>
                <c:pt idx="3">
                  <c:v>1.0010400000000002</c:v>
                </c:pt>
                <c:pt idx="4">
                  <c:v>1.0009899999999998</c:v>
                </c:pt>
                <c:pt idx="5">
                  <c:v>1.0015767</c:v>
                </c:pt>
                <c:pt idx="6">
                  <c:v>1.0015366999999999</c:v>
                </c:pt>
                <c:pt idx="7">
                  <c:v>1.00159</c:v>
                </c:pt>
                <c:pt idx="8">
                  <c:v>1.0011000000000001</c:v>
                </c:pt>
                <c:pt idx="9">
                  <c:v>1.0010399999999999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0-41A8-8A55-7EC275BC0911}"/>
            </c:ext>
          </c:extLst>
        </c:ser>
        <c:ser>
          <c:idx val="1"/>
          <c:order val="1"/>
          <c:tx>
            <c:strRef>
              <c:f>'17'!$M$7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0-41A8-8A55-7EC275BC0911}"/>
            </c:ext>
          </c:extLst>
        </c:ser>
        <c:ser>
          <c:idx val="2"/>
          <c:order val="2"/>
          <c:tx>
            <c:strRef>
              <c:f>'17'!$M$9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90-41A8-8A55-7EC275BC0911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90-41A8-8A55-7EC275BC0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'17'!$M$6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'17'!$Q$6:$U$6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'17'!$Q$7:$U$7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9-4105-BC0D-DD93D98EB053}"/>
            </c:ext>
          </c:extLst>
        </c:ser>
        <c:ser>
          <c:idx val="0"/>
          <c:order val="1"/>
          <c:tx>
            <c:strRef>
              <c:f>'17'!$M$27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'17'!$M$28:$M$42</c:f>
              <c:numCache>
                <c:formatCode>General</c:formatCode>
                <c:ptCount val="15"/>
                <c:pt idx="0">
                  <c:v>7.9369999999999994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7.0169999999999995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11.327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'17'!$N$28:$N$42</c:f>
              <c:numCache>
                <c:formatCode>General</c:formatCode>
                <c:ptCount val="15"/>
                <c:pt idx="0">
                  <c:v>1.0016967000000001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1.0015767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1.0020667000000001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9-4105-BC0D-DD93D98EB053}"/>
            </c:ext>
          </c:extLst>
        </c:ser>
        <c:ser>
          <c:idx val="4"/>
          <c:order val="2"/>
          <c:tx>
            <c:strRef>
              <c:f>'17'!$M$9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'17'!$Q$9:$U$9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'17'!$Q$10:$U$10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49-4105-BC0D-DD93D98EB053}"/>
            </c:ext>
          </c:extLst>
        </c:ser>
        <c:ser>
          <c:idx val="3"/>
          <c:order val="3"/>
          <c:tx>
            <c:strRef>
              <c:f>'17'!$O$27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'17'!$O$28:$O$42</c:f>
              <c:numCache>
                <c:formatCode>General</c:formatCode>
                <c:ptCount val="15"/>
                <c:pt idx="0">
                  <c:v>0</c:v>
                </c:pt>
                <c:pt idx="1">
                  <c:v>6.3330000000000002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6.133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9.173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'17'!$P$28:$P$42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1.0016666999999999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1.0015366999999999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1.0018966999999999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49-4105-BC0D-DD93D98EB053}"/>
            </c:ext>
          </c:extLst>
        </c:ser>
        <c:ser>
          <c:idx val="1"/>
          <c:order val="4"/>
          <c:tx>
            <c:strRef>
              <c:f>'17'!$M$12:$M$13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'17'!$Q$12:$U$12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'17'!$Q$13:$U$13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49-4105-BC0D-DD93D98EB053}"/>
            </c:ext>
          </c:extLst>
        </c:ser>
        <c:ser>
          <c:idx val="5"/>
          <c:order val="5"/>
          <c:tx>
            <c:strRef>
              <c:f>'17'!$Q$27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'17'!$Q$28:$Q$42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3.4</c:v>
                </c:pt>
                <c:pt idx="3">
                  <c:v>0.97</c:v>
                </c:pt>
                <c:pt idx="4" formatCode="0.0000">
                  <c:v>0.77300000000000002</c:v>
                </c:pt>
                <c:pt idx="5">
                  <c:v>0</c:v>
                </c:pt>
                <c:pt idx="6">
                  <c:v>0</c:v>
                </c:pt>
                <c:pt idx="7">
                  <c:v>3.67</c:v>
                </c:pt>
                <c:pt idx="8">
                  <c:v>1</c:v>
                </c:pt>
                <c:pt idx="9" formatCode="0.0000">
                  <c:v>0.71300000000000008</c:v>
                </c:pt>
                <c:pt idx="10">
                  <c:v>0</c:v>
                </c:pt>
                <c:pt idx="11">
                  <c:v>0</c:v>
                </c:pt>
                <c:pt idx="12">
                  <c:v>5.43</c:v>
                </c:pt>
                <c:pt idx="13">
                  <c:v>2.7600000000000002</c:v>
                </c:pt>
                <c:pt idx="14" formatCode="0.0000">
                  <c:v>3.0030000000000001</c:v>
                </c:pt>
              </c:numCache>
            </c:numRef>
          </c:xVal>
          <c:yVal>
            <c:numRef>
              <c:f>'17'!$R$28:$R$42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1.00162</c:v>
                </c:pt>
                <c:pt idx="3">
                  <c:v>1.0010400000000002</c:v>
                </c:pt>
                <c:pt idx="4" formatCode="0.0000">
                  <c:v>1.0009899999999998</c:v>
                </c:pt>
                <c:pt idx="5">
                  <c:v>0</c:v>
                </c:pt>
                <c:pt idx="6">
                  <c:v>0</c:v>
                </c:pt>
                <c:pt idx="7">
                  <c:v>1.00159</c:v>
                </c:pt>
                <c:pt idx="8">
                  <c:v>1.0011000000000001</c:v>
                </c:pt>
                <c:pt idx="9" formatCode="0.0000">
                  <c:v>1.0010399999999999</c:v>
                </c:pt>
                <c:pt idx="10">
                  <c:v>0</c:v>
                </c:pt>
                <c:pt idx="11">
                  <c:v>0</c:v>
                </c:pt>
                <c:pt idx="12">
                  <c:v>1.00193</c:v>
                </c:pt>
                <c:pt idx="13">
                  <c:v>1.0013700000000001</c:v>
                </c:pt>
                <c:pt idx="14" formatCode="0.0000">
                  <c:v>1.0013799999999999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49-4105-BC0D-DD93D98E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A-431F-8ADE-92C53300070F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58A-431F-8ADE-92C53300070F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58A-431F-8ADE-92C533000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79-4D78-8860-E48A52582E75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979-4D78-8860-E48A52582E75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979-4D78-8860-E48A52582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'18'!$H$28:$H$37</c:f>
              <c:numCache>
                <c:formatCode>0.0000</c:formatCode>
                <c:ptCount val="10"/>
                <c:pt idx="0">
                  <c:v>11.067</c:v>
                </c:pt>
                <c:pt idx="1">
                  <c:v>9.1129999999999995</c:v>
                </c:pt>
                <c:pt idx="2">
                  <c:v>4.8099999999999996</c:v>
                </c:pt>
                <c:pt idx="3">
                  <c:v>1.42</c:v>
                </c:pt>
                <c:pt idx="4">
                  <c:v>1.173</c:v>
                </c:pt>
                <c:pt idx="5">
                  <c:v>10.367000000000001</c:v>
                </c:pt>
                <c:pt idx="6">
                  <c:v>8.5329999999999995</c:v>
                </c:pt>
                <c:pt idx="7">
                  <c:v>4.37</c:v>
                </c:pt>
                <c:pt idx="8">
                  <c:v>1.1600000000000001</c:v>
                </c:pt>
                <c:pt idx="9">
                  <c:v>1.0030000000000001</c:v>
                </c:pt>
              </c:numCache>
            </c:numRef>
          </c:xVal>
          <c:yVal>
            <c:numRef>
              <c:f>'18'!$I$28:$I$37</c:f>
              <c:numCache>
                <c:formatCode>0.0000</c:formatCode>
                <c:ptCount val="10"/>
                <c:pt idx="0">
                  <c:v>1.0020467</c:v>
                </c:pt>
                <c:pt idx="1">
                  <c:v>1.0019467</c:v>
                </c:pt>
                <c:pt idx="2">
                  <c:v>1.0019899999999999</c:v>
                </c:pt>
                <c:pt idx="3">
                  <c:v>1.0012800000000002</c:v>
                </c:pt>
                <c:pt idx="4">
                  <c:v>1.00122</c:v>
                </c:pt>
                <c:pt idx="5">
                  <c:v>1.0019967000000001</c:v>
                </c:pt>
                <c:pt idx="6">
                  <c:v>1.0019766999999999</c:v>
                </c:pt>
                <c:pt idx="7">
                  <c:v>1.0019400000000001</c:v>
                </c:pt>
                <c:pt idx="8">
                  <c:v>1.0012100000000002</c:v>
                </c:pt>
                <c:pt idx="9">
                  <c:v>1.0011699999999999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4-41AC-A220-FF99D3CEE1F5}"/>
            </c:ext>
          </c:extLst>
        </c:ser>
        <c:ser>
          <c:idx val="1"/>
          <c:order val="1"/>
          <c:tx>
            <c:strRef>
              <c:f>'18'!$M$7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34-41AC-A220-FF99D3CEE1F5}"/>
            </c:ext>
          </c:extLst>
        </c:ser>
        <c:ser>
          <c:idx val="2"/>
          <c:order val="2"/>
          <c:tx>
            <c:strRef>
              <c:f>'18'!$M$9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34-41AC-A220-FF99D3CEE1F5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34-41AC-A220-FF99D3CE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'18'!$M$6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'18'!$Q$6:$U$6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'18'!$Q$7:$U$7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07-48BA-A77B-4A3AE35B83A1}"/>
            </c:ext>
          </c:extLst>
        </c:ser>
        <c:ser>
          <c:idx val="0"/>
          <c:order val="1"/>
          <c:tx>
            <c:strRef>
              <c:f>'18'!$M$27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'18'!$M$28:$M$42</c:f>
              <c:numCache>
                <c:formatCode>General</c:formatCode>
                <c:ptCount val="15"/>
                <c:pt idx="0">
                  <c:v>11.067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10.367000000000001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11.917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'18'!$N$28:$N$42</c:f>
              <c:numCache>
                <c:formatCode>General</c:formatCode>
                <c:ptCount val="15"/>
                <c:pt idx="0">
                  <c:v>1.0020467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1.0019967000000001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1.0018867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07-48BA-A77B-4A3AE35B83A1}"/>
            </c:ext>
          </c:extLst>
        </c:ser>
        <c:ser>
          <c:idx val="4"/>
          <c:order val="2"/>
          <c:tx>
            <c:strRef>
              <c:f>'18'!$M$9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'18'!$Q$9:$U$9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'18'!$Q$10:$U$10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07-48BA-A77B-4A3AE35B83A1}"/>
            </c:ext>
          </c:extLst>
        </c:ser>
        <c:ser>
          <c:idx val="3"/>
          <c:order val="3"/>
          <c:tx>
            <c:strRef>
              <c:f>'18'!$O$27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'18'!$O$28:$O$42</c:f>
              <c:numCache>
                <c:formatCode>General</c:formatCode>
                <c:ptCount val="15"/>
                <c:pt idx="0">
                  <c:v>0</c:v>
                </c:pt>
                <c:pt idx="1">
                  <c:v>9.1129999999999995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8.5329999999999995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9.4130000000000003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'18'!$P$28:$P$42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1.0019467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1.0019766999999999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1.0018166999999998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07-48BA-A77B-4A3AE35B83A1}"/>
            </c:ext>
          </c:extLst>
        </c:ser>
        <c:ser>
          <c:idx val="1"/>
          <c:order val="4"/>
          <c:tx>
            <c:strRef>
              <c:f>'18'!$M$12:$M$13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'18'!$Q$12:$U$12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'18'!$Q$13:$U$13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07-48BA-A77B-4A3AE35B83A1}"/>
            </c:ext>
          </c:extLst>
        </c:ser>
        <c:ser>
          <c:idx val="5"/>
          <c:order val="5"/>
          <c:tx>
            <c:strRef>
              <c:f>'18'!$Q$27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'18'!$Q$28:$Q$42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4.8099999999999996</c:v>
                </c:pt>
                <c:pt idx="3">
                  <c:v>1.42</c:v>
                </c:pt>
                <c:pt idx="4" formatCode="0.0000">
                  <c:v>1.173</c:v>
                </c:pt>
                <c:pt idx="5">
                  <c:v>0</c:v>
                </c:pt>
                <c:pt idx="6">
                  <c:v>0</c:v>
                </c:pt>
                <c:pt idx="7">
                  <c:v>4.37</c:v>
                </c:pt>
                <c:pt idx="8">
                  <c:v>1.1600000000000001</c:v>
                </c:pt>
                <c:pt idx="9" formatCode="0.0000">
                  <c:v>1.0030000000000001</c:v>
                </c:pt>
                <c:pt idx="10">
                  <c:v>0</c:v>
                </c:pt>
                <c:pt idx="11">
                  <c:v>0</c:v>
                </c:pt>
                <c:pt idx="12">
                  <c:v>5.7700000000000005</c:v>
                </c:pt>
                <c:pt idx="13">
                  <c:v>2.7600000000000002</c:v>
                </c:pt>
                <c:pt idx="14" formatCode="0.0000">
                  <c:v>2.3129999999999997</c:v>
                </c:pt>
              </c:numCache>
            </c:numRef>
          </c:xVal>
          <c:yVal>
            <c:numRef>
              <c:f>'18'!$R$28:$R$42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1.0019899999999999</c:v>
                </c:pt>
                <c:pt idx="3">
                  <c:v>1.0012800000000002</c:v>
                </c:pt>
                <c:pt idx="4" formatCode="0.0000">
                  <c:v>1.00122</c:v>
                </c:pt>
                <c:pt idx="5">
                  <c:v>0</c:v>
                </c:pt>
                <c:pt idx="6">
                  <c:v>0</c:v>
                </c:pt>
                <c:pt idx="7">
                  <c:v>1.0019400000000001</c:v>
                </c:pt>
                <c:pt idx="8">
                  <c:v>1.0012100000000002</c:v>
                </c:pt>
                <c:pt idx="9" formatCode="0.0000">
                  <c:v>1.0011699999999999</c:v>
                </c:pt>
                <c:pt idx="10">
                  <c:v>0</c:v>
                </c:pt>
                <c:pt idx="11">
                  <c:v>0</c:v>
                </c:pt>
                <c:pt idx="12">
                  <c:v>1.0019</c:v>
                </c:pt>
                <c:pt idx="13">
                  <c:v>1.0014000000000001</c:v>
                </c:pt>
                <c:pt idx="14" formatCode="0.0000">
                  <c:v>1.00132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07-48BA-A77B-4A3AE35B8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B-4F6D-A112-18D50BAF8DDE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6AB-4F6D-A112-18D50BAF8DDE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6AB-4F6D-A112-18D50BAF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D1-4D60-B921-A28C5F66CC4B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0D1-4D60-B921-A28C5F66CC4B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0D1-4D60-B921-A28C5F66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'19'!$H$28:$H$37</c:f>
              <c:numCache>
                <c:formatCode>0.0000</c:formatCode>
                <c:ptCount val="10"/>
                <c:pt idx="0">
                  <c:v>9.3769999999999989</c:v>
                </c:pt>
                <c:pt idx="1">
                  <c:v>8.6530000000000005</c:v>
                </c:pt>
                <c:pt idx="2">
                  <c:v>4.3599999999999994</c:v>
                </c:pt>
                <c:pt idx="3">
                  <c:v>0.89</c:v>
                </c:pt>
                <c:pt idx="4">
                  <c:v>0.78300000000000003</c:v>
                </c:pt>
                <c:pt idx="5">
                  <c:v>5.827</c:v>
                </c:pt>
                <c:pt idx="6">
                  <c:v>5.0229999999999997</c:v>
                </c:pt>
                <c:pt idx="7">
                  <c:v>3.47</c:v>
                </c:pt>
                <c:pt idx="8">
                  <c:v>1.36</c:v>
                </c:pt>
                <c:pt idx="9">
                  <c:v>0.89300000000000002</c:v>
                </c:pt>
              </c:numCache>
            </c:numRef>
          </c:xVal>
          <c:yVal>
            <c:numRef>
              <c:f>'19'!$I$28:$I$37</c:f>
              <c:numCache>
                <c:formatCode>0.0000</c:formatCode>
                <c:ptCount val="10"/>
                <c:pt idx="0">
                  <c:v>1.0020467</c:v>
                </c:pt>
                <c:pt idx="1">
                  <c:v>1.0020467</c:v>
                </c:pt>
                <c:pt idx="2">
                  <c:v>1.0021100000000001</c:v>
                </c:pt>
                <c:pt idx="3">
                  <c:v>1.0013100000000001</c:v>
                </c:pt>
                <c:pt idx="4">
                  <c:v>1.00126</c:v>
                </c:pt>
                <c:pt idx="5">
                  <c:v>1.0015167</c:v>
                </c:pt>
                <c:pt idx="6">
                  <c:v>1.0014067</c:v>
                </c:pt>
                <c:pt idx="7">
                  <c:v>1.0014099999999999</c:v>
                </c:pt>
                <c:pt idx="8">
                  <c:v>1.00109</c:v>
                </c:pt>
                <c:pt idx="9">
                  <c:v>1.00101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4-4ED6-9A4B-1ED1CF235541}"/>
            </c:ext>
          </c:extLst>
        </c:ser>
        <c:ser>
          <c:idx val="1"/>
          <c:order val="1"/>
          <c:tx>
            <c:strRef>
              <c:f>'19'!$M$7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4-4ED6-9A4B-1ED1CF235541}"/>
            </c:ext>
          </c:extLst>
        </c:ser>
        <c:ser>
          <c:idx val="2"/>
          <c:order val="2"/>
          <c:tx>
            <c:strRef>
              <c:f>'19'!$M$9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'19'!$Q$9:$U$9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4-4ED6-9A4B-1ED1CF235541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94-4ED6-9A4B-1ED1CF23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'19'!$M$6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'19'!$Q$6:$U$6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'19'!$Q$7:$U$7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3-4870-9D0A-FA67DEF37218}"/>
            </c:ext>
          </c:extLst>
        </c:ser>
        <c:ser>
          <c:idx val="0"/>
          <c:order val="1"/>
          <c:tx>
            <c:strRef>
              <c:f>'19'!$M$27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'19'!$M$28:$M$42</c:f>
              <c:numCache>
                <c:formatCode>General</c:formatCode>
                <c:ptCount val="15"/>
                <c:pt idx="0">
                  <c:v>9.3769999999999989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5.827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8.907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'19'!$N$28:$N$42</c:f>
              <c:numCache>
                <c:formatCode>General</c:formatCode>
                <c:ptCount val="15"/>
                <c:pt idx="0">
                  <c:v>1.0020467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1.0015167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1.0017867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3-4870-9D0A-FA67DEF37218}"/>
            </c:ext>
          </c:extLst>
        </c:ser>
        <c:ser>
          <c:idx val="4"/>
          <c:order val="2"/>
          <c:tx>
            <c:strRef>
              <c:f>'19'!$M$9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'19'!$Q$9:$U$9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'19'!$Q$10:$U$10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83-4870-9D0A-FA67DEF37218}"/>
            </c:ext>
          </c:extLst>
        </c:ser>
        <c:ser>
          <c:idx val="3"/>
          <c:order val="3"/>
          <c:tx>
            <c:strRef>
              <c:f>'19'!$O$27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'19'!$O$28:$O$42</c:f>
              <c:numCache>
                <c:formatCode>General</c:formatCode>
                <c:ptCount val="15"/>
                <c:pt idx="0">
                  <c:v>0</c:v>
                </c:pt>
                <c:pt idx="1">
                  <c:v>8.6530000000000005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5.0229999999999997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7.0830000000000002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'19'!$P$28:$P$42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1.0020467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1.0014067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1.0016166999999998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83-4870-9D0A-FA67DEF37218}"/>
            </c:ext>
          </c:extLst>
        </c:ser>
        <c:ser>
          <c:idx val="1"/>
          <c:order val="4"/>
          <c:tx>
            <c:strRef>
              <c:f>'19'!$M$12:$M$13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'19'!$Q$12:$U$12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'19'!$Q$13:$U$13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83-4870-9D0A-FA67DEF37218}"/>
            </c:ext>
          </c:extLst>
        </c:ser>
        <c:ser>
          <c:idx val="5"/>
          <c:order val="5"/>
          <c:tx>
            <c:strRef>
              <c:f>'19'!$Q$27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'19'!$Q$28:$Q$42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4.3599999999999994</c:v>
                </c:pt>
                <c:pt idx="3">
                  <c:v>0.89</c:v>
                </c:pt>
                <c:pt idx="4" formatCode="0.0000">
                  <c:v>0.78300000000000003</c:v>
                </c:pt>
                <c:pt idx="5">
                  <c:v>0</c:v>
                </c:pt>
                <c:pt idx="6">
                  <c:v>0</c:v>
                </c:pt>
                <c:pt idx="7">
                  <c:v>3.47</c:v>
                </c:pt>
                <c:pt idx="8">
                  <c:v>1.36</c:v>
                </c:pt>
                <c:pt idx="9" formatCode="0.0000">
                  <c:v>0.89300000000000002</c:v>
                </c:pt>
                <c:pt idx="10">
                  <c:v>0</c:v>
                </c:pt>
                <c:pt idx="11">
                  <c:v>0</c:v>
                </c:pt>
                <c:pt idx="12">
                  <c:v>4.63</c:v>
                </c:pt>
                <c:pt idx="13">
                  <c:v>1.38</c:v>
                </c:pt>
                <c:pt idx="14" formatCode="0.0000">
                  <c:v>1.6030000000000002</c:v>
                </c:pt>
              </c:numCache>
            </c:numRef>
          </c:xVal>
          <c:yVal>
            <c:numRef>
              <c:f>'19'!$R$28:$R$42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1.0021100000000001</c:v>
                </c:pt>
                <c:pt idx="3">
                  <c:v>1.0013100000000001</c:v>
                </c:pt>
                <c:pt idx="4" formatCode="0.0000">
                  <c:v>1.00126</c:v>
                </c:pt>
                <c:pt idx="5">
                  <c:v>0</c:v>
                </c:pt>
                <c:pt idx="6">
                  <c:v>0</c:v>
                </c:pt>
                <c:pt idx="7">
                  <c:v>1.0014099999999999</c:v>
                </c:pt>
                <c:pt idx="8">
                  <c:v>1.00109</c:v>
                </c:pt>
                <c:pt idx="9" formatCode="0.0000">
                  <c:v>1.00101</c:v>
                </c:pt>
                <c:pt idx="10">
                  <c:v>0</c:v>
                </c:pt>
                <c:pt idx="11">
                  <c:v>0</c:v>
                </c:pt>
                <c:pt idx="12">
                  <c:v>1.00169</c:v>
                </c:pt>
                <c:pt idx="13">
                  <c:v>1.0012800000000002</c:v>
                </c:pt>
                <c:pt idx="14" formatCode="0.0000">
                  <c:v>1.00139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83-4870-9D0A-FA67DEF37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A-4F35-9797-7A88359E1EFA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2AA-4F35-9797-7A88359E1EFA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2AA-4F35-9797-7A88359E1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72-47C8-9FF6-CA2452336BB8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F72-47C8-9FF6-CA2452336BB8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F72-47C8-9FF6-CA245233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7.4740323955383506E-2"/>
          <c:w val="0.8651389434669875"/>
          <c:h val="0.80620574792796462"/>
        </c:manualLayout>
      </c:layout>
      <c:scatterChart>
        <c:scatterStyle val="lineMarker"/>
        <c:varyColors val="0"/>
        <c:ser>
          <c:idx val="0"/>
          <c:order val="0"/>
          <c:tx>
            <c:v>Medições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'20'!$H$28:$H$37</c:f>
              <c:numCache>
                <c:formatCode>0.0000</c:formatCode>
                <c:ptCount val="10"/>
                <c:pt idx="0">
                  <c:v>3.6669999999999998</c:v>
                </c:pt>
                <c:pt idx="1">
                  <c:v>1.623</c:v>
                </c:pt>
                <c:pt idx="2">
                  <c:v>0.83</c:v>
                </c:pt>
                <c:pt idx="3">
                  <c:v>0.68</c:v>
                </c:pt>
                <c:pt idx="4">
                  <c:v>0.67300000000000004</c:v>
                </c:pt>
                <c:pt idx="5">
                  <c:v>3.6669999999999998</c:v>
                </c:pt>
                <c:pt idx="6">
                  <c:v>1.623</c:v>
                </c:pt>
                <c:pt idx="7">
                  <c:v>0.83</c:v>
                </c:pt>
                <c:pt idx="8">
                  <c:v>0.68</c:v>
                </c:pt>
                <c:pt idx="9">
                  <c:v>0.67300000000000004</c:v>
                </c:pt>
              </c:numCache>
            </c:numRef>
          </c:xVal>
          <c:yVal>
            <c:numRef>
              <c:f>'20'!$I$28:$I$37</c:f>
              <c:numCache>
                <c:formatCode>0.0000</c:formatCode>
                <c:ptCount val="10"/>
                <c:pt idx="0">
                  <c:v>1.0008767000000001</c:v>
                </c:pt>
                <c:pt idx="1">
                  <c:v>1.0006466999999999</c:v>
                </c:pt>
                <c:pt idx="2">
                  <c:v>1.00051</c:v>
                </c:pt>
                <c:pt idx="3">
                  <c:v>1.0004200000000001</c:v>
                </c:pt>
                <c:pt idx="4">
                  <c:v>1.0004299999999999</c:v>
                </c:pt>
                <c:pt idx="5">
                  <c:v>1.0008767000000001</c:v>
                </c:pt>
                <c:pt idx="6">
                  <c:v>1.0006466999999999</c:v>
                </c:pt>
                <c:pt idx="7">
                  <c:v>1.00051</c:v>
                </c:pt>
                <c:pt idx="8">
                  <c:v>1.0004200000000001</c:v>
                </c:pt>
                <c:pt idx="9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92-43B4-B195-C8E8FF46CF62}"/>
            </c:ext>
          </c:extLst>
        </c:ser>
        <c:ser>
          <c:idx val="1"/>
          <c:order val="1"/>
          <c:tx>
            <c:strRef>
              <c:f>'20'!$M$7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92-43B4-B195-C8E8FF46CF62}"/>
            </c:ext>
          </c:extLst>
        </c:ser>
        <c:ser>
          <c:idx val="2"/>
          <c:order val="2"/>
          <c:tx>
            <c:strRef>
              <c:f>'20'!$M$9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'20'!$Q$9:$U$9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92-43B4-B195-C8E8FF46CF62}"/>
            </c:ext>
          </c:extLst>
        </c:ser>
        <c:ser>
          <c:idx val="3"/>
          <c:order val="3"/>
          <c:tx>
            <c:strRef>
              <c:f>'0.5S'!#REF!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pPr>
              <a:ln>
                <a:noFill/>
              </a:ln>
            </c:spPr>
          </c:marker>
          <c:xVal>
            <c:numRef>
              <c:f>'0.5S'!#REF!</c:f>
            </c:numRef>
          </c:xVal>
          <c:yVal>
            <c:numRef>
              <c:f>'0.5S'!#REF!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92-43B4-B195-C8E8FF46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546032"/>
        <c:axId val="442546592"/>
      </c:scatterChart>
      <c:valAx>
        <c:axId val="44254603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592"/>
        <c:crossesAt val="1"/>
        <c:crossBetween val="midCat"/>
      </c:valAx>
      <c:valAx>
        <c:axId val="44254659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442546032"/>
        <c:crossesAt val="0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960782699735625E-2"/>
          <c:y val="0.23324172464339787"/>
          <c:w val="0.86195915103171528"/>
          <c:h val="0.66958043162592651"/>
        </c:manualLayout>
      </c:layout>
      <c:scatterChart>
        <c:scatterStyle val="lineMarker"/>
        <c:varyColors val="0"/>
        <c:ser>
          <c:idx val="2"/>
          <c:order val="0"/>
          <c:tx>
            <c:strRef>
              <c:f>'20'!$M$6</c:f>
              <c:strCache>
                <c:ptCount val="1"/>
                <c:pt idx="0">
                  <c:v>0,5S 1%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'20'!$Q$6:$U$6</c:f>
              <c:numCache>
                <c:formatCode>General</c:formatCode>
                <c:ptCount val="5"/>
                <c:pt idx="0">
                  <c:v>90</c:v>
                </c:pt>
                <c:pt idx="1">
                  <c:v>-90</c:v>
                </c:pt>
                <c:pt idx="2">
                  <c:v>-90</c:v>
                </c:pt>
                <c:pt idx="3">
                  <c:v>90</c:v>
                </c:pt>
                <c:pt idx="4">
                  <c:v>90</c:v>
                </c:pt>
              </c:numCache>
            </c:numRef>
          </c:xVal>
          <c:yVal>
            <c:numRef>
              <c:f>'20'!$Q$7:$U$7</c:f>
              <c:numCache>
                <c:formatCode>General</c:formatCode>
                <c:ptCount val="5"/>
                <c:pt idx="0">
                  <c:v>1.0149999999999999</c:v>
                </c:pt>
                <c:pt idx="1">
                  <c:v>1.0149999999999999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1.0149999999999999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1-4D12-95BA-EDC42708AC28}"/>
            </c:ext>
          </c:extLst>
        </c:ser>
        <c:ser>
          <c:idx val="0"/>
          <c:order val="1"/>
          <c:tx>
            <c:strRef>
              <c:f>'20'!$M$27</c:f>
              <c:strCache>
                <c:ptCount val="1"/>
                <c:pt idx="0">
                  <c:v>Pontos 0,5S 1%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  <a:ln w="12700">
                <a:noFill/>
                <a:prstDash val="solid"/>
              </a:ln>
            </c:spPr>
          </c:marker>
          <c:xVal>
            <c:numRef>
              <c:f>'20'!$M$28:$M$42</c:f>
              <c:numCache>
                <c:formatCode>General</c:formatCode>
                <c:ptCount val="15"/>
                <c:pt idx="0">
                  <c:v>3.6669999999999998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3.6669999999999998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3.6669999999999998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'20'!$N$28:$N$42</c:f>
              <c:numCache>
                <c:formatCode>General</c:formatCode>
                <c:ptCount val="15"/>
                <c:pt idx="0">
                  <c:v>1.0008767000000001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1.0008767000000001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1.0008767000000001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1-4D12-95BA-EDC42708AC28}"/>
            </c:ext>
          </c:extLst>
        </c:ser>
        <c:ser>
          <c:idx val="4"/>
          <c:order val="2"/>
          <c:tx>
            <c:strRef>
              <c:f>'20'!$M$9</c:f>
              <c:strCache>
                <c:ptCount val="1"/>
                <c:pt idx="0">
                  <c:v>0,5S 5%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'20'!$Q$9:$U$9</c:f>
              <c:numCache>
                <c:formatCode>General</c:formatCode>
                <c:ptCount val="5"/>
                <c:pt idx="0">
                  <c:v>45</c:v>
                </c:pt>
                <c:pt idx="1">
                  <c:v>-45</c:v>
                </c:pt>
                <c:pt idx="2">
                  <c:v>-45</c:v>
                </c:pt>
                <c:pt idx="3">
                  <c:v>45</c:v>
                </c:pt>
                <c:pt idx="4">
                  <c:v>45</c:v>
                </c:pt>
              </c:numCache>
            </c:numRef>
          </c:xVal>
          <c:yVal>
            <c:numRef>
              <c:f>'20'!$Q$10:$U$10</c:f>
              <c:numCache>
                <c:formatCode>General</c:formatCode>
                <c:ptCount val="5"/>
                <c:pt idx="0">
                  <c:v>1.0075000000000001</c:v>
                </c:pt>
                <c:pt idx="1">
                  <c:v>1.0075000000000001</c:v>
                </c:pt>
                <c:pt idx="2">
                  <c:v>0.99250000000000005</c:v>
                </c:pt>
                <c:pt idx="3">
                  <c:v>0.99250000000000005</c:v>
                </c:pt>
                <c:pt idx="4">
                  <c:v>1.0075000000000001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81-4D12-95BA-EDC42708AC28}"/>
            </c:ext>
          </c:extLst>
        </c:ser>
        <c:ser>
          <c:idx val="3"/>
          <c:order val="3"/>
          <c:tx>
            <c:strRef>
              <c:f>'20'!$O$27</c:f>
              <c:strCache>
                <c:ptCount val="1"/>
                <c:pt idx="0">
                  <c:v>Pntos 0,5S 5%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'20'!$O$28:$O$42</c:f>
              <c:numCache>
                <c:formatCode>General</c:formatCode>
                <c:ptCount val="15"/>
                <c:pt idx="0">
                  <c:v>0</c:v>
                </c:pt>
                <c:pt idx="1">
                  <c:v>1.623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1.623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1.623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xVal>
          <c:yVal>
            <c:numRef>
              <c:f>'20'!$P$28:$P$42</c:f>
              <c:numCache>
                <c:formatCode>General</c:formatCode>
                <c:ptCount val="15"/>
                <c:pt idx="0">
                  <c:v>0</c:v>
                </c:pt>
                <c:pt idx="1">
                  <c:v>1.0006466999999999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1.0006466999999999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1.0006466999999999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81-4D12-95BA-EDC42708AC28}"/>
            </c:ext>
          </c:extLst>
        </c:ser>
        <c:ser>
          <c:idx val="1"/>
          <c:order val="4"/>
          <c:tx>
            <c:strRef>
              <c:f>'20'!$M$12:$M$13</c:f>
              <c:strCache>
                <c:ptCount val="1"/>
                <c:pt idx="0">
                  <c:v>0,5S 20, 100 e 120%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'20'!$Q$12:$U$12</c:f>
              <c:numCache>
                <c:formatCode>General</c:formatCode>
                <c:ptCount val="5"/>
                <c:pt idx="0">
                  <c:v>30</c:v>
                </c:pt>
                <c:pt idx="1">
                  <c:v>-30</c:v>
                </c:pt>
                <c:pt idx="2">
                  <c:v>-30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'20'!$Q$13:$U$13</c:f>
              <c:numCache>
                <c:formatCode>General</c:formatCode>
                <c:ptCount val="5"/>
                <c:pt idx="0">
                  <c:v>1.0049999999999999</c:v>
                </c:pt>
                <c:pt idx="1">
                  <c:v>1.0049999999999999</c:v>
                </c:pt>
                <c:pt idx="2">
                  <c:v>0.995</c:v>
                </c:pt>
                <c:pt idx="3">
                  <c:v>0.995</c:v>
                </c:pt>
                <c:pt idx="4">
                  <c:v>1.0049999999999999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81-4D12-95BA-EDC42708AC28}"/>
            </c:ext>
          </c:extLst>
        </c:ser>
        <c:ser>
          <c:idx val="5"/>
          <c:order val="5"/>
          <c:tx>
            <c:strRef>
              <c:f>'20'!$Q$27</c:f>
              <c:strCache>
                <c:ptCount val="1"/>
                <c:pt idx="0">
                  <c:v>Pontos 0,5S 20, 100 e 120%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'20'!$Q$28:$Q$42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0.83</c:v>
                </c:pt>
                <c:pt idx="3">
                  <c:v>0.68</c:v>
                </c:pt>
                <c:pt idx="4" formatCode="0.0000">
                  <c:v>0.67300000000000004</c:v>
                </c:pt>
                <c:pt idx="5">
                  <c:v>0</c:v>
                </c:pt>
                <c:pt idx="6">
                  <c:v>0</c:v>
                </c:pt>
                <c:pt idx="7">
                  <c:v>0.83</c:v>
                </c:pt>
                <c:pt idx="8">
                  <c:v>0.68</c:v>
                </c:pt>
                <c:pt idx="9" formatCode="0.0000">
                  <c:v>0.67300000000000004</c:v>
                </c:pt>
                <c:pt idx="10">
                  <c:v>0</c:v>
                </c:pt>
                <c:pt idx="11">
                  <c:v>0</c:v>
                </c:pt>
                <c:pt idx="12">
                  <c:v>0.83</c:v>
                </c:pt>
                <c:pt idx="13">
                  <c:v>0.68</c:v>
                </c:pt>
                <c:pt idx="14" formatCode="0.0000">
                  <c:v>0.67300000000000004</c:v>
                </c:pt>
              </c:numCache>
            </c:numRef>
          </c:xVal>
          <c:yVal>
            <c:numRef>
              <c:f>'20'!$R$28:$R$42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1.00051</c:v>
                </c:pt>
                <c:pt idx="3">
                  <c:v>1.0004200000000001</c:v>
                </c:pt>
                <c:pt idx="4" formatCode="0.0000">
                  <c:v>1.0004299999999999</c:v>
                </c:pt>
                <c:pt idx="5">
                  <c:v>0</c:v>
                </c:pt>
                <c:pt idx="6">
                  <c:v>0</c:v>
                </c:pt>
                <c:pt idx="7">
                  <c:v>1.00051</c:v>
                </c:pt>
                <c:pt idx="8">
                  <c:v>1.0004200000000001</c:v>
                </c:pt>
                <c:pt idx="9" formatCode="0.0000">
                  <c:v>1.0004299999999999</c:v>
                </c:pt>
                <c:pt idx="10">
                  <c:v>0</c:v>
                </c:pt>
                <c:pt idx="11">
                  <c:v>0</c:v>
                </c:pt>
                <c:pt idx="12">
                  <c:v>1.00051</c:v>
                </c:pt>
                <c:pt idx="13">
                  <c:v>1.0004200000000001</c:v>
                </c:pt>
                <c:pt idx="14" formatCode="0.0000">
                  <c:v>1.0004299999999999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81-4D12-95BA-EDC42708A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410640"/>
        <c:axId val="311411200"/>
      </c:scatterChart>
      <c:valAx>
        <c:axId val="311410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>
                    <a:latin typeface="Symbol" panose="05050102010706020507" pitchFamily="18" charset="2"/>
                  </a:rPr>
                  <a:t>g</a:t>
                </a:r>
                <a:r>
                  <a:rPr lang="pt-BR"/>
                  <a:t> minutos</a:t>
                </a:r>
              </a:p>
            </c:rich>
          </c:tx>
          <c:layout>
            <c:manualLayout>
              <c:xMode val="edge"/>
              <c:yMode val="edge"/>
              <c:x val="0.41422145822280682"/>
              <c:y val="0.920611058723368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1200"/>
        <c:crossesAt val="1"/>
        <c:crossBetween val="midCat"/>
        <c:majorUnit val="50"/>
      </c:valAx>
      <c:valAx>
        <c:axId val="311411200"/>
        <c:scaling>
          <c:orientation val="minMax"/>
          <c:min val="0.98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FCR</a:t>
                </a:r>
              </a:p>
            </c:rich>
          </c:tx>
          <c:layout>
            <c:manualLayout>
              <c:xMode val="edge"/>
              <c:yMode val="edge"/>
              <c:x val="1.8580447790291377E-2"/>
              <c:y val="0.39426248084972526"/>
            </c:manualLayout>
          </c:layout>
          <c:overlay val="0"/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11410640"/>
        <c:crosses val="autoZero"/>
        <c:crossBetween val="midCat"/>
      </c:valAx>
      <c:spPr>
        <a:solidFill>
          <a:srgbClr val="FFFFFF"/>
        </a:solidFill>
        <a:ln w="25400"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layout>
        <c:manualLayout>
          <c:xMode val="edge"/>
          <c:yMode val="edge"/>
          <c:x val="1.2832954971710796E-2"/>
          <c:y val="0"/>
          <c:w val="0.671097427700176"/>
          <c:h val="0.17112175738191071"/>
        </c:manualLayout>
      </c:layout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ysClr val="windowText" lastClr="000000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2" verticalDpi="0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B-40E9-837E-86000DA32C2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9B-40E9-837E-86000DA32C2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9B-40E9-837E-86000DA3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14304"/>
        <c:axId val="309314864"/>
      </c:scatterChart>
      <c:valAx>
        <c:axId val="309314304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864"/>
        <c:crossesAt val="0.99199999999999999"/>
        <c:crossBetween val="midCat"/>
        <c:majorUnit val="10"/>
        <c:minorUnit val="2"/>
      </c:valAx>
      <c:valAx>
        <c:axId val="309314864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9314304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Dados dos Ensaios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'0,3'!#REF!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C-4AA3-BABA-0C051CCDD4A1}"/>
            </c:ext>
          </c:extLst>
        </c:ser>
        <c:ser>
          <c:idx val="1"/>
          <c:order val="1"/>
          <c:tx>
            <c:v>Paralelogramo_10%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-30</c:v>
              </c:pt>
              <c:pt idx="1">
                <c:v>0</c:v>
              </c:pt>
              <c:pt idx="2">
                <c:v>30</c:v>
              </c:pt>
              <c:pt idx="3">
                <c:v>0</c:v>
              </c:pt>
              <c:pt idx="4">
                <c:v>-30</c:v>
              </c:pt>
            </c:numLit>
          </c:xVal>
          <c:yVal>
            <c:numLit>
              <c:formatCode>General</c:formatCode>
              <c:ptCount val="5"/>
              <c:pt idx="0">
                <c:v>0.99399999999999999</c:v>
              </c:pt>
              <c:pt idx="1">
                <c:v>0.99399999999999999</c:v>
              </c:pt>
              <c:pt idx="2">
                <c:v>1.006</c:v>
              </c:pt>
              <c:pt idx="3">
                <c:v>1.006</c:v>
              </c:pt>
              <c:pt idx="4">
                <c:v>0.99399999999999999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43C-4AA3-BABA-0C051CCDD4A1}"/>
            </c:ext>
          </c:extLst>
        </c:ser>
        <c:ser>
          <c:idx val="2"/>
          <c:order val="2"/>
          <c:tx>
            <c:v>Paralelogramo_100%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-15</c:v>
              </c:pt>
              <c:pt idx="1">
                <c:v>0</c:v>
              </c:pt>
              <c:pt idx="2">
                <c:v>15</c:v>
              </c:pt>
              <c:pt idx="3">
                <c:v>0</c:v>
              </c:pt>
              <c:pt idx="4">
                <c:v>-15</c:v>
              </c:pt>
            </c:numLit>
          </c:xVal>
          <c:yVal>
            <c:numLit>
              <c:formatCode>General</c:formatCode>
              <c:ptCount val="5"/>
              <c:pt idx="0">
                <c:v>0.997</c:v>
              </c:pt>
              <c:pt idx="1">
                <c:v>0.997</c:v>
              </c:pt>
              <c:pt idx="2">
                <c:v>1.0029999999999994</c:v>
              </c:pt>
              <c:pt idx="3">
                <c:v>1.0029999999999994</c:v>
              </c:pt>
              <c:pt idx="4">
                <c:v>0.997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43C-4AA3-BABA-0C051CCD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11856"/>
        <c:axId val="305412416"/>
      </c:scatterChart>
      <c:valAx>
        <c:axId val="305411856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2416"/>
        <c:crossesAt val="0.99199999999999999"/>
        <c:crossBetween val="midCat"/>
        <c:majorUnit val="10"/>
        <c:minorUnit val="2"/>
      </c:valAx>
      <c:valAx>
        <c:axId val="305412416"/>
        <c:scaling>
          <c:orientation val="minMax"/>
          <c:max val="1.008"/>
          <c:min val="0.99199999999999999"/>
        </c:scaling>
        <c:delete val="0"/>
        <c:axPos val="l"/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05411856"/>
        <c:crossesAt val="0"/>
        <c:crossBetween val="midCat"/>
        <c:majorUnit val="2.0000000000000009E-3"/>
        <c:minorUnit val="4.0000000000000018E-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78" l="0.78740157499999996" r="0.78740157499999996" t="0.98425196899999978" header="0.49212598500000021" footer="0.49212598500000021"/>
    <c:pageSetup paperSize="9" orientation="landscape" horizontalDpi="-3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image" Target="../media/image4.png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image" Target="../media/image4.png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5" Type="http://schemas.openxmlformats.org/officeDocument/2006/relationships/image" Target="../media/image4.png"/><Relationship Id="rId4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image" Target="../media/image4.png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image" Target="../media/image4.png"/><Relationship Id="rId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5" Type="http://schemas.openxmlformats.org/officeDocument/2006/relationships/image" Target="../media/image4.png"/><Relationship Id="rId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image" Target="../media/image4.png"/><Relationship Id="rId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5" Type="http://schemas.openxmlformats.org/officeDocument/2006/relationships/image" Target="../media/image4.png"/><Relationship Id="rId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chart" Target="../charts/chart4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5" Type="http://schemas.openxmlformats.org/officeDocument/2006/relationships/image" Target="../media/image4.png"/><Relationship Id="rId4" Type="http://schemas.openxmlformats.org/officeDocument/2006/relationships/chart" Target="../charts/chart46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5" Type="http://schemas.openxmlformats.org/officeDocument/2006/relationships/image" Target="../media/image4.png"/><Relationship Id="rId4" Type="http://schemas.openxmlformats.org/officeDocument/2006/relationships/chart" Target="../charts/chart5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image" Target="../media/image4.png"/><Relationship Id="rId4" Type="http://schemas.openxmlformats.org/officeDocument/2006/relationships/chart" Target="../charts/chart5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5" Type="http://schemas.openxmlformats.org/officeDocument/2006/relationships/image" Target="../media/image4.png"/><Relationship Id="rId4" Type="http://schemas.openxmlformats.org/officeDocument/2006/relationships/chart" Target="../charts/chart58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Relationship Id="rId5" Type="http://schemas.openxmlformats.org/officeDocument/2006/relationships/image" Target="../media/image4.png"/><Relationship Id="rId4" Type="http://schemas.openxmlformats.org/officeDocument/2006/relationships/chart" Target="../charts/chart62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5.xml"/><Relationship Id="rId2" Type="http://schemas.openxmlformats.org/officeDocument/2006/relationships/chart" Target="../charts/chart64.xml"/><Relationship Id="rId1" Type="http://schemas.openxmlformats.org/officeDocument/2006/relationships/chart" Target="../charts/chart63.xml"/><Relationship Id="rId5" Type="http://schemas.openxmlformats.org/officeDocument/2006/relationships/image" Target="../media/image4.png"/><Relationship Id="rId4" Type="http://schemas.openxmlformats.org/officeDocument/2006/relationships/chart" Target="../charts/chart6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9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5" Type="http://schemas.openxmlformats.org/officeDocument/2006/relationships/image" Target="../media/image4.png"/><Relationship Id="rId4" Type="http://schemas.openxmlformats.org/officeDocument/2006/relationships/chart" Target="../charts/chart7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image" Target="../media/image4.png"/><Relationship Id="rId4" Type="http://schemas.openxmlformats.org/officeDocument/2006/relationships/chart" Target="../charts/chart74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Relationship Id="rId6" Type="http://schemas.openxmlformats.org/officeDocument/2006/relationships/image" Target="../media/image6.png"/><Relationship Id="rId5" Type="http://schemas.openxmlformats.org/officeDocument/2006/relationships/image" Target="../media/image4.png"/><Relationship Id="rId4" Type="http://schemas.openxmlformats.org/officeDocument/2006/relationships/chart" Target="../charts/chart78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1.xml"/><Relationship Id="rId2" Type="http://schemas.openxmlformats.org/officeDocument/2006/relationships/chart" Target="../charts/chart80.xml"/><Relationship Id="rId1" Type="http://schemas.openxmlformats.org/officeDocument/2006/relationships/chart" Target="../charts/chart79.xml"/><Relationship Id="rId5" Type="http://schemas.openxmlformats.org/officeDocument/2006/relationships/image" Target="../media/image4.png"/><Relationship Id="rId4" Type="http://schemas.openxmlformats.org/officeDocument/2006/relationships/chart" Target="../charts/chart8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4.xml"/><Relationship Id="rId1" Type="http://schemas.openxmlformats.org/officeDocument/2006/relationships/chart" Target="../charts/chart83.xml"/><Relationship Id="rId4" Type="http://schemas.openxmlformats.org/officeDocument/2006/relationships/image" Target="../media/image2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34118ED-91DD-4CCE-9296-8F1B1D817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1B90F28-3B74-4CDF-94CC-B71F97788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45</xdr:row>
      <xdr:rowOff>14967</xdr:rowOff>
    </xdr:from>
    <xdr:to>
      <xdr:col>8</xdr:col>
      <xdr:colOff>631092</xdr:colOff>
      <xdr:row>45</xdr:row>
      <xdr:rowOff>172302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BA928B3D-8F8F-4B7A-AAA6-3535DBAB6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7488" y="13235667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1F4F9D4B-A6EB-4CB8-B9BD-97365F911A62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104775</xdr:rowOff>
    </xdr:from>
    <xdr:to>
      <xdr:col>0</xdr:col>
      <xdr:colOff>1227375</xdr:colOff>
      <xdr:row>1</xdr:row>
      <xdr:rowOff>283853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E490434-469B-4654-8DAF-027B3291F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7045F40-E89A-4B27-BF83-6A8399DC8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F26FAED-57B8-40F7-826E-0A911922F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CB1F4-509B-4D97-8FFE-3E271F5EE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DD1D66F-727E-47F0-ABE4-619CAEBED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8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98070F8F-A3A9-4511-807E-7B2772FAD172}"/>
            </a:ext>
          </a:extLst>
        </xdr:cNvPr>
        <xdr:cNvSpPr>
          <a:spLocks noChangeAspect="1" noChangeArrowheads="1"/>
        </xdr:cNvSpPr>
      </xdr:nvSpPr>
      <xdr:spPr bwMode="auto">
        <a:xfrm>
          <a:off x="0" y="2447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4EF912E-D816-4526-95B0-42E7AB6F4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4575" y="12068175"/>
          <a:ext cx="6838095" cy="20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11</xdr:col>
      <xdr:colOff>132495</xdr:colOff>
      <xdr:row>36</xdr:row>
      <xdr:rowOff>114048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9325"/>
          <a:ext cx="6838095" cy="20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095EB21-DC1B-4F12-B640-E393AEE39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37D958F-EBD9-46B9-92CB-2C74D73FA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CCD656-0191-4FF4-9635-55AF72A7A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1496115-D95B-444E-8098-4FBD9B402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141633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EE19D784-7FAC-4EBC-8CF3-AF7051226C87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50271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BB2A61E-9C16-4B07-BC4F-4FA979481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5D55E20-6804-4999-884D-D625FAE2E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B8CE5F72-8611-4B65-9855-7746DD7B5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21F51E-F6CD-4D7D-85CB-98691AC4A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434A3A9-3809-4694-840C-CB6A005B6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74C9CD39-EC80-47AA-A520-CA69765D8DA0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68BBC22-0F37-4013-9AC0-F1272D9D9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44EBA00F-B4EE-4840-889F-C64E60D08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0E592DF-FD37-4DB2-BC8F-39704FECD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F7DDD-EF6E-477A-8A93-2385D95AF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ACCF219B-C5FE-4905-ABAD-2D74DCC4C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143474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D2741B69-4358-47E4-BB26-34FACCE92CBB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807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7CDA5D7-0E9A-4547-9F41-58EF13B41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7D375773-F942-4E5E-9432-D270BF881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6D0E31D-5D02-4D9B-92A6-7DB1F7FA8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AE8634-8D5F-417F-9052-8B3F929E4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1D186E9-F1B5-422C-8194-6DDF12F43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37E973C4-52DB-45C3-9B70-44007BDF4294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26A80FC-B992-4782-9254-989F3191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509CD77-5678-4797-BCD2-A98E9C1F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C6760D7-123B-43E6-8D4E-95BF92CF1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D252FA-8517-4211-8367-1BFC7E4E8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1FE477B-6417-43D6-BDF0-FD6594895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C0BEEAF8-9960-4A4F-970C-35FCFEB20C70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46120EF-21DA-468D-815F-CE454B734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17406BE-2D1B-424A-85BD-8FBCD3914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0084548-73DA-477E-A835-2683E7C4F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26B94-BB18-45A0-87AF-57EA98AA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8DF5BE0-5594-42A6-B9B4-1A3468686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5C9E6D88-9E18-4EB5-8DB8-E127572CC33E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2138E07-0DCC-4B49-92EB-E7E1914D6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AB1CDA68-7ED6-492E-B037-9590C3C4F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3AB9712-1C43-460C-8ECD-DB7A9E1F8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27117E-E216-45F0-9CCE-CD910F210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72978DE-02C6-4CC4-966D-3745BFA3D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A2DC57DB-D0FC-4CEB-B3DA-3C3D23FDE9EC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5142844-BE41-48A7-BFE2-493A8BC93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7CCFE09-DA4C-4B82-B323-D4DB7DCF4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EA9EB3C7-8188-487E-959B-7C0D46FB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A68440-C570-4C73-87E8-F306C3C35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8828CFB-E402-4A15-BF55-EFF232EAA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88C83186-8037-458E-A402-D97D4D1B43DB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30248DF-5D2A-407B-A2AF-3A80A83E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0A4785AF-6479-4346-92C0-0B8896B45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C7B47D69-2E72-4440-BCE3-89E165373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1D72E7-E4AC-48D4-AE68-058ED8D67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8E70B1E-8D5B-45A8-A330-84710B57E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F7EF6AA2-8D61-4410-A9C7-525BB9B27C04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0</xdr:col>
      <xdr:colOff>1227375</xdr:colOff>
      <xdr:row>1</xdr:row>
      <xdr:rowOff>121928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A1A2CAA-7AAC-4AA1-8C8B-EB808B5E9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775"/>
          <a:ext cx="1198800" cy="369578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4D01464-57C4-453A-A6B2-9BEECA4E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B5239C1C-D5CB-4CC4-85C6-D6FC0B5BE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D5A624F-E329-4232-B010-B48753577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0CF881-63EA-42AE-A857-3972F7130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DB84063-0F60-47B6-8CA8-8AAE7C9D9B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7E40878A-E691-4468-85DB-45BAF0318E61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7A27938-DD8F-4F69-9C18-8BDA8FB20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C0360E50-1231-4B54-AA57-C4FFE8526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F30AB9A-710C-4A4B-BE87-C5BAE3447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C51759-3107-46A0-B547-9966AB934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2DF9312-EE96-48B1-B990-6D875279F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143474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232F0D2D-0162-47A4-8F46-3FCBA385630C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807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F352263-6930-4354-B945-8AA8A0CB7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EE2C189-5FA7-475D-84CB-0896E7263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3AED9BE-197C-448B-A22F-353D6335A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189F1D-6CEF-4CBC-B627-A475D6A6E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6EF99B7-D97C-463D-A661-650786423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143474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DBD8AC36-C128-4127-ABF6-A5887BB43DC3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807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64AE8F7-7949-47C7-87BC-A07BF76BE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8497ABB-4AD6-474B-86C8-79559628B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4A8C3B0-0A64-4FD1-B837-24A357B35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EDCAE2-4697-4E46-AE81-260432E67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F4F6127-110E-4FC0-8A2C-C97930ADF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653C79E9-537D-4E08-A3E9-56D78DA064A6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E9D69AF-64CA-4D00-9D31-947AB3311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2F5C3C70-2423-4C71-B32B-DF57D85D9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AE41FDC-E1A1-4DAD-9BBD-6CCCC736F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64F052-5FAC-484B-AB29-A0846604F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E7B0EB5-2494-40EC-BAEC-0CBAF4539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CB1C7D50-088C-47F0-9FBD-ABE0289A7DC6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E477643-5313-4FB1-BB20-B2CAB7578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91ABCEEF-8AC5-4F3E-8F87-CEC9565CF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4E17D4D8-39B8-4323-9D69-078670807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198424-9A7F-466F-8683-2526176CD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F7D790E3-8136-48E6-8DC1-5A877C762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7D99A9AD-2499-43F7-92CD-5896846FB0C0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F27262C-8101-44B8-A0AE-31A9537D2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82BAF02-D35E-4679-8BDD-0CE8EE71B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2EB02B6-FEEF-466B-A5C8-92278531D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1D410A-1463-46A4-81FC-9BF461270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BD3A8C1-CC71-4251-AE29-F7426F3BD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47E39483-0CE8-4A25-B1DA-DDC8E8872758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220F047-358E-4114-9E07-65F2814C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CDBCF37-7754-4613-8F66-B317F53B2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88EC966-5400-4496-AF6D-8513DCB6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4D67E4-74DF-4D61-A422-9E90ABD12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56093291-9BA7-4FCB-BBB1-8E533243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5C55FAB0-E017-421B-BAE8-B3487468FF65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2E9756E-7335-4EBB-99C3-96257C454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F5F6615-DF18-4E13-AC3D-77C626758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F5ACBA89-2A87-49A9-AF32-2CC639561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746BFE-D593-4C20-B231-70B28B296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85E8A99B-5B81-4600-81F1-0A8D6025A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3E255283-FB36-40AA-8342-505D8464AD60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95313AF-C966-4DA0-B0FB-A77C7B80F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438150</xdr:colOff>
      <xdr:row>42</xdr:row>
      <xdr:rowOff>0</xdr:rowOff>
    </xdr:from>
    <xdr:to>
      <xdr:col>2</xdr:col>
      <xdr:colOff>381000</xdr:colOff>
      <xdr:row>47</xdr:row>
      <xdr:rowOff>101918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1A9E1D5B-8293-45A1-99DF-D9E6FAB7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0" y="25574625"/>
          <a:ext cx="2209800" cy="91154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BB3D91C-5427-438B-B8D6-8644EDC67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E23E071-3B4B-40BE-9ED1-B33C6B6E4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597353</xdr:colOff>
      <xdr:row>22</xdr:row>
      <xdr:rowOff>24766</xdr:rowOff>
    </xdr:from>
    <xdr:to>
      <xdr:col>31</xdr:col>
      <xdr:colOff>20138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A0FF7A-CCF3-4385-B482-0A5AF8821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254690</xdr:colOff>
      <xdr:row>1</xdr:row>
      <xdr:rowOff>69323</xdr:rowOff>
    </xdr:from>
    <xdr:to>
      <xdr:col>8</xdr:col>
      <xdr:colOff>571498</xdr:colOff>
      <xdr:row>23</xdr:row>
      <xdr:rowOff>107673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D190600-DD78-4B6E-9B41-783C6A466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144532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64FD8B6B-CEF5-419D-AE27-E490D7646C0F}"/>
            </a:ext>
          </a:extLst>
        </xdr:cNvPr>
        <xdr:cNvSpPr>
          <a:spLocks noChangeAspect="1" noChangeArrowheads="1"/>
        </xdr:cNvSpPr>
      </xdr:nvSpPr>
      <xdr:spPr bwMode="auto">
        <a:xfrm>
          <a:off x="0" y="25098375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504825</xdr:colOff>
      <xdr:row>0</xdr:row>
      <xdr:rowOff>0</xdr:rowOff>
    </xdr:from>
    <xdr:to>
      <xdr:col>21</xdr:col>
      <xdr:colOff>151545</xdr:colOff>
      <xdr:row>13</xdr:row>
      <xdr:rowOff>37848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85CFB93-9794-4C1F-AAB5-9D67F0A1E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0" y="16887825"/>
          <a:ext cx="6838095" cy="201904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1AC6C0D-D0F7-4722-BFF9-4B830346D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89AC82F7-904B-43B4-AD41-1451DD815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483688</xdr:colOff>
      <xdr:row>0</xdr:row>
      <xdr:rowOff>0</xdr:rowOff>
    </xdr:from>
    <xdr:to>
      <xdr:col>8</xdr:col>
      <xdr:colOff>631092</xdr:colOff>
      <xdr:row>0</xdr:row>
      <xdr:rowOff>157335</xdr:rowOff>
    </xdr:to>
    <xdr:pic>
      <xdr:nvPicPr>
        <xdr:cNvPr id="6" name="Gráfico 5" descr="Árvore decídua com preenchimento sólido">
          <a:extLst>
            <a:ext uri="{FF2B5EF4-FFF2-40B4-BE49-F238E27FC236}">
              <a16:creationId xmlns:a16="http://schemas.microsoft.com/office/drawing/2014/main" id="{6D69130C-79B3-4F65-AF44-547F5BAC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27488" y="0"/>
          <a:ext cx="147404" cy="1573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58807</xdr:rowOff>
    </xdr:to>
    <xdr:sp macro="" textlink="">
      <xdr:nvSpPr>
        <xdr:cNvPr id="7" name="AutoShape 1" descr="blob:https://web.whatsapp.com/6da6de91-b486-47d0-906c-d82b3ac8f97b">
          <a:extLst>
            <a:ext uri="{FF2B5EF4-FFF2-40B4-BE49-F238E27FC236}">
              <a16:creationId xmlns:a16="http://schemas.microsoft.com/office/drawing/2014/main" id="{B5209AA7-1E0B-4974-98F7-711A84E62E6E}"/>
            </a:ext>
          </a:extLst>
        </xdr:cNvPr>
        <xdr:cNvSpPr>
          <a:spLocks noChangeAspect="1" noChangeArrowheads="1"/>
        </xdr:cNvSpPr>
      </xdr:nvSpPr>
      <xdr:spPr bwMode="auto">
        <a:xfrm>
          <a:off x="0" y="7258050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A31A-6D50-4CE7-809A-51BAEE850443}">
  <sheetPr>
    <tabColor rgb="FFFFFF00"/>
  </sheetPr>
  <dimension ref="A1:U47"/>
  <sheetViews>
    <sheetView showGridLines="0" view="pageBreakPreview" topLeftCell="A35" zoomScaleNormal="115" zoomScaleSheetLayoutView="100" workbookViewId="0">
      <selection activeCell="C44" sqref="C44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15" ht="15" customHeight="1" x14ac:dyDescent="0.25">
      <c r="A1" s="173"/>
      <c r="B1" s="175" t="s">
        <v>94</v>
      </c>
      <c r="C1" s="176"/>
      <c r="D1" s="176"/>
      <c r="E1" s="176"/>
      <c r="F1" s="176"/>
      <c r="G1" s="177"/>
      <c r="H1" s="181" t="s">
        <v>87</v>
      </c>
      <c r="I1" s="182"/>
      <c r="J1" s="6"/>
      <c r="K1" s="6"/>
    </row>
    <row r="2" spans="1:15" ht="27" customHeight="1" thickBot="1" x14ac:dyDescent="0.3">
      <c r="A2" s="174"/>
      <c r="B2" s="178"/>
      <c r="C2" s="179"/>
      <c r="D2" s="179"/>
      <c r="E2" s="179"/>
      <c r="F2" s="179"/>
      <c r="G2" s="180"/>
      <c r="H2" s="183"/>
      <c r="I2" s="184"/>
      <c r="J2" s="6"/>
      <c r="K2" s="6"/>
    </row>
    <row r="3" spans="1:15" ht="15" customHeight="1" thickBot="1" x14ac:dyDescent="0.3">
      <c r="A3" s="185" t="s">
        <v>86</v>
      </c>
      <c r="B3" s="186"/>
      <c r="C3" s="186"/>
      <c r="D3" s="186"/>
      <c r="E3" s="186"/>
      <c r="F3" s="186"/>
      <c r="G3" s="186"/>
      <c r="H3" s="186"/>
      <c r="I3" s="187"/>
      <c r="J3" s="6"/>
      <c r="K3" s="6"/>
    </row>
    <row r="4" spans="1:15" s="6" customFormat="1" ht="33" hidden="1" customHeight="1" thickBot="1" x14ac:dyDescent="0.3">
      <c r="A4" s="90"/>
      <c r="B4" s="90"/>
      <c r="C4" s="90"/>
      <c r="D4" s="90"/>
      <c r="E4" s="90"/>
      <c r="F4" s="90"/>
      <c r="G4" s="90"/>
      <c r="H4" s="90"/>
      <c r="I4" s="90"/>
    </row>
    <row r="5" spans="1:15" s="6" customFormat="1" ht="21.6" customHeight="1" x14ac:dyDescent="0.25">
      <c r="A5" s="71" t="s">
        <v>51</v>
      </c>
      <c r="B5" s="149" t="s">
        <v>190</v>
      </c>
      <c r="C5" s="47"/>
      <c r="D5" s="46"/>
      <c r="E5" s="46"/>
      <c r="F5" s="46"/>
      <c r="G5" s="46"/>
      <c r="H5" s="46"/>
      <c r="I5" s="46"/>
    </row>
    <row r="6" spans="1:15" s="46" customFormat="1" ht="21.6" customHeight="1" x14ac:dyDescent="0.25">
      <c r="A6" s="71" t="s">
        <v>65</v>
      </c>
      <c r="B6" s="47" t="s">
        <v>189</v>
      </c>
      <c r="C6" s="48"/>
      <c r="D6" s="48"/>
      <c r="E6" s="48"/>
      <c r="F6" s="48"/>
      <c r="G6" s="49"/>
      <c r="H6" s="49" t="s">
        <v>44</v>
      </c>
      <c r="I6" s="150">
        <v>45826</v>
      </c>
    </row>
    <row r="7" spans="1:15" s="46" customFormat="1" ht="4.5" customHeight="1" x14ac:dyDescent="0.25">
      <c r="A7" s="50"/>
      <c r="B7" s="51"/>
      <c r="C7" s="52"/>
      <c r="D7" s="51"/>
      <c r="E7" s="51"/>
      <c r="F7" s="53"/>
      <c r="G7" s="53"/>
      <c r="H7" s="53"/>
      <c r="I7" s="54"/>
    </row>
    <row r="8" spans="1:15" s="8" customFormat="1" ht="19.899999999999999" customHeight="1" x14ac:dyDescent="0.25">
      <c r="A8" s="55" t="s">
        <v>13</v>
      </c>
      <c r="B8" s="55"/>
      <c r="C8" s="55"/>
      <c r="D8" s="55"/>
      <c r="E8" s="55"/>
      <c r="F8" s="55"/>
      <c r="G8" s="55"/>
      <c r="H8" s="55"/>
      <c r="I8" s="55"/>
    </row>
    <row r="9" spans="1:15" s="24" customFormat="1" ht="15.75" customHeight="1" x14ac:dyDescent="0.25">
      <c r="A9" s="72" t="s">
        <v>45</v>
      </c>
      <c r="C9" s="151" t="s">
        <v>95</v>
      </c>
      <c r="D9" s="56"/>
      <c r="E9" s="57"/>
      <c r="F9" s="57"/>
      <c r="G9" s="57"/>
      <c r="H9" s="57"/>
      <c r="I9" s="57"/>
    </row>
    <row r="10" spans="1:15" s="6" customFormat="1" ht="15.75" customHeight="1" x14ac:dyDescent="0.25">
      <c r="A10" s="2" t="s">
        <v>25</v>
      </c>
      <c r="C10" s="151" t="s">
        <v>96</v>
      </c>
      <c r="D10" s="5"/>
      <c r="F10" s="25"/>
      <c r="G10" s="25"/>
      <c r="H10" s="25"/>
      <c r="I10" s="25"/>
    </row>
    <row r="11" spans="1:15" s="6" customFormat="1" ht="4.5" customHeight="1" x14ac:dyDescent="0.25">
      <c r="B11" s="5"/>
      <c r="C11" s="5"/>
      <c r="D11" s="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s="6" customFormat="1" ht="18" x14ac:dyDescent="0.25">
      <c r="A12" s="55" t="s">
        <v>52</v>
      </c>
      <c r="B12" s="55"/>
      <c r="C12" s="55"/>
      <c r="D12" s="55"/>
      <c r="E12" s="55"/>
      <c r="F12" s="55"/>
      <c r="G12" s="55"/>
      <c r="H12" s="55"/>
      <c r="I12" s="55"/>
    </row>
    <row r="13" spans="1:15" s="6" customFormat="1" ht="18.75" x14ac:dyDescent="0.25">
      <c r="A13" s="72" t="s">
        <v>45</v>
      </c>
      <c r="C13" s="24" t="s">
        <v>24</v>
      </c>
      <c r="G13" s="59"/>
      <c r="H13" s="60"/>
    </row>
    <row r="14" spans="1:15" s="6" customFormat="1" ht="18.75" x14ac:dyDescent="0.25">
      <c r="A14" s="2" t="s">
        <v>25</v>
      </c>
      <c r="C14" s="6" t="s">
        <v>113</v>
      </c>
      <c r="G14" s="59"/>
      <c r="H14" s="60"/>
    </row>
    <row r="15" spans="1:15" s="24" customFormat="1" ht="15.75" x14ac:dyDescent="0.2">
      <c r="A15" s="2" t="s">
        <v>46</v>
      </c>
      <c r="C15" s="6" t="s">
        <v>79</v>
      </c>
    </row>
    <row r="16" spans="1:15" s="6" customFormat="1" ht="4.5" customHeight="1" x14ac:dyDescent="0.25">
      <c r="B16" s="5"/>
      <c r="C16" s="5"/>
      <c r="D16" s="5"/>
      <c r="E16" s="25"/>
      <c r="F16" s="25"/>
      <c r="G16" s="25"/>
      <c r="H16" s="25"/>
      <c r="I16" s="25"/>
    </row>
    <row r="17" spans="1:9" s="8" customFormat="1" ht="18" x14ac:dyDescent="0.25">
      <c r="A17" s="55" t="s">
        <v>16</v>
      </c>
      <c r="B17" s="55"/>
      <c r="C17" s="55"/>
      <c r="D17" s="55"/>
      <c r="E17" s="55"/>
      <c r="F17" s="55"/>
      <c r="G17" s="55"/>
      <c r="H17" s="55"/>
      <c r="I17" s="55"/>
    </row>
    <row r="18" spans="1:9" s="6" customFormat="1" ht="15.75" x14ac:dyDescent="0.25">
      <c r="A18" s="2" t="s">
        <v>14</v>
      </c>
      <c r="C18" s="88" t="s">
        <v>97</v>
      </c>
      <c r="D18" s="88"/>
      <c r="E18" s="58"/>
    </row>
    <row r="19" spans="1:9" s="6" customFormat="1" ht="15.75" x14ac:dyDescent="0.25">
      <c r="A19" s="2" t="s">
        <v>15</v>
      </c>
      <c r="C19" s="152" t="s">
        <v>98</v>
      </c>
      <c r="D19" s="61"/>
      <c r="E19" s="58"/>
    </row>
    <row r="20" spans="1:9" s="6" customFormat="1" ht="15.75" x14ac:dyDescent="0.25">
      <c r="A20" s="2" t="s">
        <v>53</v>
      </c>
      <c r="C20" s="152">
        <v>17.5</v>
      </c>
      <c r="D20" s="61"/>
      <c r="E20" s="58"/>
    </row>
    <row r="21" spans="1:9" s="6" customFormat="1" ht="15.75" x14ac:dyDescent="0.25">
      <c r="A21" s="2" t="s">
        <v>54</v>
      </c>
      <c r="C21" s="152" t="s">
        <v>99</v>
      </c>
      <c r="D21" s="61"/>
      <c r="E21" s="58"/>
    </row>
    <row r="22" spans="1:9" s="6" customFormat="1" ht="15.75" x14ac:dyDescent="0.25">
      <c r="A22" s="2" t="s">
        <v>68</v>
      </c>
      <c r="C22" s="153" t="s">
        <v>191</v>
      </c>
      <c r="D22" s="73"/>
      <c r="E22" s="58"/>
    </row>
    <row r="23" spans="1:9" s="6" customFormat="1" ht="15.75" x14ac:dyDescent="0.25">
      <c r="A23" s="2" t="s">
        <v>69</v>
      </c>
      <c r="C23" s="153" t="s">
        <v>100</v>
      </c>
      <c r="D23" s="61"/>
      <c r="E23" s="58"/>
    </row>
    <row r="24" spans="1:9" s="6" customFormat="1" ht="15.75" x14ac:dyDescent="0.25">
      <c r="A24" s="2" t="s">
        <v>76</v>
      </c>
      <c r="C24" s="153" t="s">
        <v>101</v>
      </c>
      <c r="D24" s="61"/>
      <c r="E24" s="58"/>
    </row>
    <row r="25" spans="1:9" s="6" customFormat="1" ht="15" customHeight="1" x14ac:dyDescent="0.25">
      <c r="A25" s="2" t="s">
        <v>77</v>
      </c>
      <c r="C25" s="61">
        <v>5</v>
      </c>
    </row>
    <row r="26" spans="1:9" s="6" customFormat="1" ht="15" x14ac:dyDescent="0.25"/>
    <row r="27" spans="1:9" s="6" customFormat="1" ht="15.75" x14ac:dyDescent="0.25">
      <c r="A27" s="2" t="s">
        <v>102</v>
      </c>
      <c r="C27" s="88" t="s">
        <v>103</v>
      </c>
      <c r="E27" s="88"/>
      <c r="F27" s="89"/>
      <c r="G27" s="4"/>
      <c r="H27" s="4"/>
      <c r="I27" s="4"/>
    </row>
    <row r="28" spans="1:9" s="6" customFormat="1" ht="15.75" x14ac:dyDescent="0.25">
      <c r="A28" s="2"/>
      <c r="C28" s="88" t="s">
        <v>104</v>
      </c>
      <c r="E28" s="88"/>
      <c r="F28" s="89"/>
      <c r="G28" s="4"/>
      <c r="H28" s="4"/>
      <c r="I28" s="4"/>
    </row>
    <row r="29" spans="1:9" s="6" customFormat="1" ht="15.75" x14ac:dyDescent="0.25">
      <c r="A29" s="2"/>
      <c r="C29" s="58"/>
      <c r="E29" s="58"/>
      <c r="F29" s="4"/>
      <c r="G29" s="4"/>
      <c r="H29" s="4"/>
      <c r="I29" s="4"/>
    </row>
    <row r="30" spans="1:9" s="6" customFormat="1" ht="15.75" x14ac:dyDescent="0.25">
      <c r="A30" s="2" t="s">
        <v>55</v>
      </c>
      <c r="C30" s="58" t="s">
        <v>85</v>
      </c>
      <c r="E30" s="58"/>
      <c r="F30" s="4"/>
      <c r="G30" s="4"/>
      <c r="H30" s="4"/>
      <c r="I30" s="4"/>
    </row>
    <row r="31" spans="1:9" s="6" customFormat="1" ht="15" x14ac:dyDescent="0.25">
      <c r="C31" s="70" t="s">
        <v>82</v>
      </c>
      <c r="D31" s="58" t="s">
        <v>78</v>
      </c>
      <c r="F31" s="4"/>
      <c r="G31" s="4"/>
      <c r="H31" s="4"/>
      <c r="I31" s="4"/>
    </row>
    <row r="32" spans="1:9" s="6" customFormat="1" ht="15" x14ac:dyDescent="0.25">
      <c r="C32" s="70"/>
      <c r="D32" s="58"/>
      <c r="F32" s="4"/>
      <c r="G32" s="4"/>
      <c r="H32" s="4"/>
      <c r="I32" s="4"/>
    </row>
    <row r="33" spans="1:21" s="8" customFormat="1" ht="19.899999999999999" customHeight="1" x14ac:dyDescent="0.25">
      <c r="A33" s="55" t="s">
        <v>21</v>
      </c>
      <c r="B33" s="55"/>
      <c r="C33" s="55"/>
      <c r="D33" s="55"/>
      <c r="E33" s="55"/>
      <c r="F33" s="55"/>
      <c r="G33" s="55"/>
      <c r="H33" s="55"/>
      <c r="I33" s="55"/>
    </row>
    <row r="34" spans="1:21" s="6" customFormat="1" ht="25.5" customHeight="1" x14ac:dyDescent="0.25">
      <c r="A34" s="2" t="s">
        <v>27</v>
      </c>
      <c r="C34" s="2"/>
      <c r="D34" s="2"/>
      <c r="E34" s="2"/>
      <c r="F34" s="2"/>
      <c r="G34" s="2"/>
      <c r="H34" s="2"/>
      <c r="I34" s="2"/>
    </row>
    <row r="35" spans="1:21" s="6" customFormat="1" ht="51" customHeight="1" x14ac:dyDescent="0.25">
      <c r="A35" s="170" t="s">
        <v>83</v>
      </c>
      <c r="B35" s="170"/>
      <c r="C35" s="170"/>
      <c r="D35" s="170"/>
      <c r="E35" s="170"/>
      <c r="F35" s="170"/>
      <c r="G35" s="170"/>
      <c r="H35" s="170"/>
      <c r="I35" s="170"/>
    </row>
    <row r="36" spans="1:21" s="6" customFormat="1" ht="15.75" x14ac:dyDescent="0.25">
      <c r="A36" s="2" t="s">
        <v>28</v>
      </c>
      <c r="C36" s="2"/>
      <c r="D36" s="2"/>
      <c r="E36" s="2"/>
      <c r="F36" s="2"/>
      <c r="G36" s="2"/>
      <c r="H36" s="2"/>
      <c r="I36" s="2"/>
    </row>
    <row r="37" spans="1:21" s="6" customFormat="1" ht="96.75" customHeight="1" x14ac:dyDescent="0.25">
      <c r="A37" s="170" t="s">
        <v>112</v>
      </c>
      <c r="B37" s="170"/>
      <c r="C37" s="170"/>
      <c r="D37" s="170"/>
      <c r="E37" s="170"/>
      <c r="F37" s="170"/>
      <c r="G37" s="170"/>
      <c r="H37" s="170"/>
      <c r="I37" s="170"/>
    </row>
    <row r="38" spans="1:21" s="8" customFormat="1" ht="19.899999999999999" customHeight="1" x14ac:dyDescent="0.25">
      <c r="A38" s="55" t="s">
        <v>58</v>
      </c>
      <c r="B38" s="55"/>
      <c r="C38" s="55"/>
      <c r="D38" s="55"/>
      <c r="E38" s="55"/>
      <c r="F38" s="55"/>
      <c r="G38" s="55"/>
      <c r="H38" s="55"/>
      <c r="I38" s="55"/>
    </row>
    <row r="39" spans="1:21" s="62" customFormat="1" ht="4.9000000000000004" customHeight="1" x14ac:dyDescent="0.2">
      <c r="B39" s="6"/>
      <c r="C39" s="6"/>
      <c r="D39" s="6"/>
      <c r="E39" s="6"/>
      <c r="F39" s="6"/>
      <c r="G39" s="6"/>
      <c r="H39" s="6"/>
      <c r="I39" s="6"/>
    </row>
    <row r="40" spans="1:21" s="24" customFormat="1" ht="44.45" customHeight="1" x14ac:dyDescent="0.2">
      <c r="A40" s="171" t="s">
        <v>59</v>
      </c>
      <c r="B40" s="172"/>
      <c r="C40" s="26" t="s">
        <v>60</v>
      </c>
      <c r="D40" s="63" t="s">
        <v>1</v>
      </c>
      <c r="E40" s="26" t="s">
        <v>0</v>
      </c>
      <c r="F40" s="26" t="s">
        <v>61</v>
      </c>
      <c r="G40" s="26" t="s">
        <v>62</v>
      </c>
      <c r="H40" s="26" t="s">
        <v>2</v>
      </c>
    </row>
    <row r="41" spans="1:21" s="24" customFormat="1" ht="21" customHeight="1" x14ac:dyDescent="0.2">
      <c r="A41" s="82" t="s">
        <v>71</v>
      </c>
      <c r="B41" s="83"/>
      <c r="C41" s="77" t="s">
        <v>192</v>
      </c>
      <c r="D41" s="77" t="s">
        <v>193</v>
      </c>
      <c r="E41" s="78">
        <v>160869</v>
      </c>
      <c r="F41" s="79">
        <v>45629</v>
      </c>
      <c r="G41" s="80">
        <v>45994</v>
      </c>
      <c r="H41" s="79" t="s">
        <v>110</v>
      </c>
      <c r="I41" s="11"/>
    </row>
    <row r="42" spans="1:21" s="24" customFormat="1" ht="21" customHeight="1" x14ac:dyDescent="0.2">
      <c r="A42" s="82" t="s">
        <v>81</v>
      </c>
      <c r="B42" s="84"/>
      <c r="C42" s="77" t="s">
        <v>106</v>
      </c>
      <c r="D42" s="77" t="s">
        <v>107</v>
      </c>
      <c r="E42" s="78">
        <v>170081</v>
      </c>
      <c r="F42" s="79">
        <v>45793</v>
      </c>
      <c r="G42" s="80">
        <v>46157</v>
      </c>
      <c r="H42" s="79" t="s">
        <v>108</v>
      </c>
    </row>
    <row r="43" spans="1:21" s="24" customFormat="1" ht="21" customHeight="1" x14ac:dyDescent="0.2">
      <c r="A43" s="81" t="s">
        <v>72</v>
      </c>
      <c r="B43" s="84"/>
      <c r="C43" s="77" t="s">
        <v>188</v>
      </c>
      <c r="D43" s="77" t="s">
        <v>188</v>
      </c>
      <c r="E43" s="78">
        <v>32225</v>
      </c>
      <c r="F43" s="79">
        <v>44558</v>
      </c>
      <c r="G43" s="80">
        <v>46382</v>
      </c>
      <c r="H43" s="79" t="s">
        <v>109</v>
      </c>
    </row>
    <row r="44" spans="1:21" s="6" customFormat="1" ht="15" x14ac:dyDescent="0.25">
      <c r="C44" s="70"/>
      <c r="D44" s="58"/>
      <c r="F44" s="4"/>
      <c r="G44" s="4"/>
      <c r="H44" s="4"/>
      <c r="I44" s="4"/>
    </row>
    <row r="45" spans="1:21" s="6" customFormat="1" ht="72.599999999999994" customHeight="1" x14ac:dyDescent="0.25">
      <c r="A45" s="169" t="s">
        <v>56</v>
      </c>
      <c r="B45" s="169"/>
      <c r="C45" s="169"/>
      <c r="D45" s="169"/>
      <c r="E45" s="169"/>
      <c r="F45" s="169"/>
      <c r="G45" s="169"/>
      <c r="H45" s="169"/>
      <c r="I45" s="169"/>
    </row>
    <row r="46" spans="1:21" s="6" customFormat="1" ht="15" x14ac:dyDescent="0.25">
      <c r="E46" s="58"/>
      <c r="F46" s="4"/>
      <c r="G46" s="4"/>
      <c r="H46" s="4"/>
      <c r="I46" s="66" t="s">
        <v>57</v>
      </c>
    </row>
    <row r="47" spans="1:21" x14ac:dyDescent="0.25">
      <c r="M47" s="10"/>
      <c r="N47" s="10"/>
      <c r="O47" s="10"/>
      <c r="P47" s="10"/>
      <c r="Q47" s="10"/>
      <c r="R47" s="10"/>
      <c r="S47" s="10"/>
      <c r="T47" s="10"/>
      <c r="U47" s="10"/>
    </row>
  </sheetData>
  <mergeCells count="8">
    <mergeCell ref="A45:I45"/>
    <mergeCell ref="A35:I35"/>
    <mergeCell ref="A37:I37"/>
    <mergeCell ref="A40:B40"/>
    <mergeCell ref="A1:A2"/>
    <mergeCell ref="B1:G2"/>
    <mergeCell ref="H1:I2"/>
    <mergeCell ref="A3:I3"/>
  </mergeCells>
  <dataValidations count="1">
    <dataValidation type="list" allowBlank="1" showInputMessage="1" showErrorMessage="1" sqref="H13:H14" xr:uid="{DAE9CDF6-AC02-431B-9A1D-22549B99C173}">
      <formula1>#REF!</formula1>
    </dataValidation>
  </dataValidations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25.5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35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45967</v>
      </c>
      <c r="B28" s="159" t="s">
        <v>119</v>
      </c>
      <c r="C28" s="158" t="str">
        <f>A6</f>
        <v>2:1/1%</v>
      </c>
      <c r="D28" s="140">
        <v>5</v>
      </c>
      <c r="E28" s="96">
        <v>-8.8999999999999996E-2</v>
      </c>
      <c r="F28" s="97">
        <v>4.62</v>
      </c>
      <c r="G28" s="129">
        <f>E28-((B6-1)*100)</f>
        <v>-0.17667000000000635</v>
      </c>
      <c r="H28" s="129">
        <f>F28+C6</f>
        <v>8.286999999999999</v>
      </c>
      <c r="I28" s="130">
        <f>1-(G28/100)</f>
        <v>1.0017667000000001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8.286999999999999</v>
      </c>
      <c r="N28" s="21">
        <f t="shared" ref="N28:N42" si="1">IFERROR(VLOOKUP($A$6,C28:I28,7,0),0)</f>
        <v>1.0017667000000001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45967</v>
      </c>
      <c r="B29" s="160" t="s">
        <v>119</v>
      </c>
      <c r="C29" s="141" t="str">
        <f t="shared" ref="C29" si="4">A7</f>
        <v>2:1/5%</v>
      </c>
      <c r="D29" s="142">
        <v>5</v>
      </c>
      <c r="E29" s="86">
        <v>-0.09</v>
      </c>
      <c r="F29" s="64">
        <v>3.88</v>
      </c>
      <c r="G29" s="131">
        <f t="shared" ref="G29" si="5">E29-((B7-1)*100)</f>
        <v>-0.1546699999999889</v>
      </c>
      <c r="H29" s="131">
        <f t="shared" ref="H29" si="6">F29+C7</f>
        <v>5.5030000000000001</v>
      </c>
      <c r="I29" s="132">
        <f t="shared" ref="I29:I30" si="7">1-(G29/100)</f>
        <v>1.0015466999999998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5.5030000000000001</v>
      </c>
      <c r="P29" s="21">
        <f t="shared" si="3"/>
        <v>1.0015466999999998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45967</v>
      </c>
      <c r="B30" s="160" t="s">
        <v>119</v>
      </c>
      <c r="C30" s="141" t="str">
        <f>A9</f>
        <v>2:1/20%</v>
      </c>
      <c r="D30" s="142">
        <v>5</v>
      </c>
      <c r="E30" s="86">
        <v>-0.104</v>
      </c>
      <c r="F30" s="64">
        <v>3.21</v>
      </c>
      <c r="G30" s="131">
        <f>E30-((B9-1)*100)</f>
        <v>-0.15500000000000103</v>
      </c>
      <c r="H30" s="131">
        <f>F30+C9</f>
        <v>4.04</v>
      </c>
      <c r="I30" s="132">
        <f t="shared" si="7"/>
        <v>1.0015499999999999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4.04</v>
      </c>
      <c r="R30" s="21">
        <f>IFERROR(VLOOKUP($A$9,C30:I30,7,0),IFERROR(VLOOKUP($A$12,C30:I30,7,0),IFERROR(VLOOKUP($A$14,C30:I30,7,0),0)))</f>
        <v>1.0015499999999999</v>
      </c>
    </row>
    <row r="31" spans="1:21" s="10" customFormat="1" ht="13.9" customHeight="1" x14ac:dyDescent="0.25">
      <c r="A31" s="161">
        <v>45967</v>
      </c>
      <c r="B31" s="160" t="s">
        <v>119</v>
      </c>
      <c r="C31" s="141" t="str">
        <f>A12</f>
        <v>2:1/100%</v>
      </c>
      <c r="D31" s="142">
        <v>5</v>
      </c>
      <c r="E31" s="86">
        <v>-6.4000000000000001E-2</v>
      </c>
      <c r="F31" s="64">
        <v>0.7</v>
      </c>
      <c r="G31" s="131">
        <f>E31-((B12-1)*100)</f>
        <v>-0.1060000000000087</v>
      </c>
      <c r="H31" s="131">
        <f>F31+C12</f>
        <v>1.38</v>
      </c>
      <c r="I31" s="132">
        <f>1-(G31/100)</f>
        <v>1.0010600000000001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1.38</v>
      </c>
      <c r="R31" s="21">
        <f t="shared" ref="R31:R41" si="10">IFERROR(VLOOKUP($A$9,C31:I31,7,0),IFERROR(VLOOKUP($A$12,C31:I31,7,0),IFERROR(VLOOKUP($A$14,C31:I31,7,0),0)))</f>
        <v>1.0010600000000001</v>
      </c>
    </row>
    <row r="32" spans="1:21" s="10" customFormat="1" ht="13.9" customHeight="1" thickBot="1" x14ac:dyDescent="0.3">
      <c r="A32" s="165">
        <v>45967</v>
      </c>
      <c r="B32" s="166" t="s">
        <v>119</v>
      </c>
      <c r="C32" s="143" t="str">
        <f>A13</f>
        <v>2:1/120%</v>
      </c>
      <c r="D32" s="144">
        <v>5</v>
      </c>
      <c r="E32" s="126">
        <v>-5.6000000000000001E-2</v>
      </c>
      <c r="F32" s="127">
        <v>0.48</v>
      </c>
      <c r="G32" s="133">
        <f>E32-((B13-1)*100)</f>
        <v>-9.8999999999993038E-2</v>
      </c>
      <c r="H32" s="133">
        <f>F32+C13</f>
        <v>1.153</v>
      </c>
      <c r="I32" s="134">
        <f t="shared" ref="I32" si="11">1-(G32/100)</f>
        <v>1.0009899999999998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1.153</v>
      </c>
      <c r="R32" s="148">
        <f>I32</f>
        <v>1.0009899999999998</v>
      </c>
    </row>
    <row r="33" spans="1:21" s="10" customFormat="1" ht="13.9" customHeight="1" thickTop="1" x14ac:dyDescent="0.25">
      <c r="A33" s="164">
        <v>45967</v>
      </c>
      <c r="B33" s="123" t="s">
        <v>120</v>
      </c>
      <c r="C33" s="145" t="str">
        <f>A6</f>
        <v>2:1/1%</v>
      </c>
      <c r="D33" s="145">
        <v>5</v>
      </c>
      <c r="E33" s="124">
        <v>-4.4999999999999998E-2</v>
      </c>
      <c r="F33" s="125">
        <v>1.82</v>
      </c>
      <c r="G33" s="135">
        <f>E33-((B6-1)*100)</f>
        <v>-0.13267000000000634</v>
      </c>
      <c r="H33" s="135">
        <f>F33+C6</f>
        <v>5.4870000000000001</v>
      </c>
      <c r="I33" s="136">
        <f>1-(G33/100)</f>
        <v>1.0013267000000001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5.4870000000000001</v>
      </c>
      <c r="N33" s="21">
        <f t="shared" si="1"/>
        <v>1.0013267000000001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45967</v>
      </c>
      <c r="B34" s="160" t="s">
        <v>120</v>
      </c>
      <c r="C34" s="142" t="str">
        <f>A7</f>
        <v>2:1/5%</v>
      </c>
      <c r="D34" s="142">
        <v>5</v>
      </c>
      <c r="E34" s="86">
        <v>-5.7000000000000002E-2</v>
      </c>
      <c r="F34" s="64">
        <v>2.89</v>
      </c>
      <c r="G34" s="131">
        <f>E34-((B7-1)*100)</f>
        <v>-0.1216699999999889</v>
      </c>
      <c r="H34" s="131">
        <f>F34+C7</f>
        <v>4.5129999999999999</v>
      </c>
      <c r="I34" s="132">
        <f t="shared" ref="I34:I35" si="12">1-(G34/100)</f>
        <v>1.0012166999999998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4.5129999999999999</v>
      </c>
      <c r="P34" s="21">
        <f t="shared" si="3"/>
        <v>1.0012166999999998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45967</v>
      </c>
      <c r="B35" s="160" t="s">
        <v>120</v>
      </c>
      <c r="C35" s="142" t="str">
        <f>A9</f>
        <v>2:1/20%</v>
      </c>
      <c r="D35" s="142">
        <v>5</v>
      </c>
      <c r="E35" s="86">
        <v>-6.8000000000000005E-2</v>
      </c>
      <c r="F35" s="64">
        <v>2.27</v>
      </c>
      <c r="G35" s="131">
        <f>E35-((B9-1)*100)</f>
        <v>-0.11900000000000105</v>
      </c>
      <c r="H35" s="131">
        <f>F35+C9</f>
        <v>3.1</v>
      </c>
      <c r="I35" s="132">
        <f t="shared" si="12"/>
        <v>1.00119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3.1</v>
      </c>
      <c r="R35" s="21">
        <f t="shared" si="10"/>
        <v>1.00119</v>
      </c>
    </row>
    <row r="36" spans="1:21" s="10" customFormat="1" ht="13.9" customHeight="1" x14ac:dyDescent="0.25">
      <c r="A36" s="161">
        <v>45967</v>
      </c>
      <c r="B36" s="160" t="s">
        <v>120</v>
      </c>
      <c r="C36" s="142" t="str">
        <f>A12</f>
        <v>2:1/100%</v>
      </c>
      <c r="D36" s="142">
        <v>5</v>
      </c>
      <c r="E36" s="86">
        <v>-4.3999999999999997E-2</v>
      </c>
      <c r="F36" s="64">
        <v>0.73</v>
      </c>
      <c r="G36" s="131">
        <f>E36-((B12-1)*100)</f>
        <v>-8.6000000000008694E-2</v>
      </c>
      <c r="H36" s="131">
        <f>F36+C12</f>
        <v>1.4100000000000001</v>
      </c>
      <c r="I36" s="132">
        <f>1-(G36/100)</f>
        <v>1.0008600000000001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1.4100000000000001</v>
      </c>
      <c r="R36" s="21">
        <f t="shared" si="10"/>
        <v>1.0008600000000001</v>
      </c>
    </row>
    <row r="37" spans="1:21" s="10" customFormat="1" ht="13.9" customHeight="1" thickBot="1" x14ac:dyDescent="0.3">
      <c r="A37" s="165">
        <v>45967</v>
      </c>
      <c r="B37" s="166" t="s">
        <v>120</v>
      </c>
      <c r="C37" s="144" t="str">
        <f>A13</f>
        <v>2:1/120%</v>
      </c>
      <c r="D37" s="144">
        <v>5</v>
      </c>
      <c r="E37" s="126">
        <v>-4.1000000000000002E-2</v>
      </c>
      <c r="F37" s="127">
        <v>0.53</v>
      </c>
      <c r="G37" s="133">
        <f>E37-((B13-1)*100)</f>
        <v>-8.3999999999993052E-2</v>
      </c>
      <c r="H37" s="133">
        <f>F37+C13</f>
        <v>1.2030000000000001</v>
      </c>
      <c r="I37" s="134">
        <f t="shared" ref="I37" si="13">1-(G37/100)</f>
        <v>1.00084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1.2030000000000001</v>
      </c>
      <c r="R37" s="148">
        <f>I37</f>
        <v>1.00084</v>
      </c>
    </row>
    <row r="38" spans="1:21" s="10" customFormat="1" ht="13.9" customHeight="1" thickTop="1" x14ac:dyDescent="0.25">
      <c r="A38" s="164">
        <v>45967</v>
      </c>
      <c r="B38" s="123" t="s">
        <v>121</v>
      </c>
      <c r="C38" s="145" t="str">
        <f>A6</f>
        <v>2:1/1%</v>
      </c>
      <c r="D38" s="145">
        <v>5</v>
      </c>
      <c r="E38" s="124">
        <v>-5.8000000000000003E-2</v>
      </c>
      <c r="F38" s="125">
        <v>3.54</v>
      </c>
      <c r="G38" s="135">
        <f>E38-((B6-1)*100)</f>
        <v>-0.14567000000000635</v>
      </c>
      <c r="H38" s="135">
        <f>F38+C6</f>
        <v>7.2069999999999999</v>
      </c>
      <c r="I38" s="136">
        <f>1-(G38/100)</f>
        <v>1.0014567000000001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7.2069999999999999</v>
      </c>
      <c r="N38" s="21">
        <f t="shared" si="1"/>
        <v>1.0014567000000001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45967</v>
      </c>
      <c r="B39" s="160" t="s">
        <v>121</v>
      </c>
      <c r="C39" s="142" t="str">
        <f>A7</f>
        <v>2:1/5%</v>
      </c>
      <c r="D39" s="142">
        <v>5</v>
      </c>
      <c r="E39" s="86">
        <v>-6.8000000000000005E-2</v>
      </c>
      <c r="F39" s="64">
        <v>4.09</v>
      </c>
      <c r="G39" s="131">
        <f>E39-((B7-1)*100)</f>
        <v>-0.13266999999998891</v>
      </c>
      <c r="H39" s="131">
        <f>F39+C7</f>
        <v>5.7130000000000001</v>
      </c>
      <c r="I39" s="132">
        <f t="shared" ref="I39:I40" si="14">1-(G39/100)</f>
        <v>1.0013266999999999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5.7130000000000001</v>
      </c>
      <c r="P39" s="21">
        <f t="shared" si="3"/>
        <v>1.0013266999999999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45967</v>
      </c>
      <c r="B40" s="160" t="s">
        <v>121</v>
      </c>
      <c r="C40" s="142" t="str">
        <f>A9</f>
        <v>2:1/20%</v>
      </c>
      <c r="D40" s="142">
        <v>5</v>
      </c>
      <c r="E40" s="86">
        <v>-8.4000000000000005E-2</v>
      </c>
      <c r="F40" s="64">
        <v>2.36</v>
      </c>
      <c r="G40" s="131">
        <f>E40-((B9-1)*100)</f>
        <v>-0.13500000000000106</v>
      </c>
      <c r="H40" s="131">
        <f>F40+C9</f>
        <v>3.19</v>
      </c>
      <c r="I40" s="132">
        <f t="shared" si="14"/>
        <v>1.00135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3.19</v>
      </c>
      <c r="R40" s="21">
        <f t="shared" si="10"/>
        <v>1.00135</v>
      </c>
    </row>
    <row r="41" spans="1:21" s="10" customFormat="1" ht="13.9" customHeight="1" x14ac:dyDescent="0.25">
      <c r="A41" s="161">
        <v>45967</v>
      </c>
      <c r="B41" s="160" t="s">
        <v>121</v>
      </c>
      <c r="C41" s="142" t="str">
        <f>A12</f>
        <v>2:1/100%</v>
      </c>
      <c r="D41" s="142">
        <v>5</v>
      </c>
      <c r="E41" s="86">
        <v>-4.5999999999999999E-2</v>
      </c>
      <c r="F41" s="64">
        <v>0.46</v>
      </c>
      <c r="G41" s="131">
        <f>E41-((B12-1)*100)</f>
        <v>-8.8000000000008696E-2</v>
      </c>
      <c r="H41" s="131">
        <f>F41+C12</f>
        <v>1.1400000000000001</v>
      </c>
      <c r="I41" s="132">
        <f>1-(G41/100)</f>
        <v>1.00088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1.1400000000000001</v>
      </c>
      <c r="R41" s="21">
        <f t="shared" si="10"/>
        <v>1.00088</v>
      </c>
    </row>
    <row r="42" spans="1:21" s="10" customFormat="1" ht="13.9" customHeight="1" thickBot="1" x14ac:dyDescent="0.3">
      <c r="A42" s="162">
        <v>45967</v>
      </c>
      <c r="B42" s="163" t="s">
        <v>121</v>
      </c>
      <c r="C42" s="146" t="str">
        <f>A13</f>
        <v>2:1/120%</v>
      </c>
      <c r="D42" s="146">
        <v>5</v>
      </c>
      <c r="E42" s="87">
        <v>-5.3999999999999999E-2</v>
      </c>
      <c r="F42" s="85">
        <v>1.61</v>
      </c>
      <c r="G42" s="137">
        <f>E42-((B13-1)*100)</f>
        <v>-9.6999999999993036E-2</v>
      </c>
      <c r="H42" s="137">
        <f>F42+C13</f>
        <v>2.2830000000000004</v>
      </c>
      <c r="I42" s="138">
        <f t="shared" ref="I42" si="16">1-(G42/100)</f>
        <v>1.0009699999999999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2.2830000000000004</v>
      </c>
      <c r="R42" s="148">
        <f>I42</f>
        <v>1.0009699999999999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A18:C18"/>
    <mergeCell ref="O6:O7"/>
    <mergeCell ref="M9:M10"/>
    <mergeCell ref="N9:N10"/>
    <mergeCell ref="O9:O10"/>
    <mergeCell ref="M12:M13"/>
    <mergeCell ref="N12:N13"/>
    <mergeCell ref="O12:O13"/>
    <mergeCell ref="N6:N7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9" priority="2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"/>
  <sheetViews>
    <sheetView workbookViewId="0">
      <selection activeCell="F5" sqref="F5"/>
    </sheetView>
  </sheetViews>
  <sheetFormatPr defaultRowHeight="15" x14ac:dyDescent="0.25"/>
  <sheetData>
    <row r="1" spans="1:19" ht="15.6" x14ac:dyDescent="0.3">
      <c r="A1" s="2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25">
      <c r="A2" s="205" t="s">
        <v>4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</row>
    <row r="3" spans="1:19" ht="15.6" x14ac:dyDescent="0.3">
      <c r="A3" s="6"/>
      <c r="B3" s="3"/>
      <c r="C3" s="6"/>
      <c r="D3" s="6"/>
      <c r="E3" s="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6" x14ac:dyDescent="0.3">
      <c r="A4" s="2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5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5">
      <c r="A7" s="6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5">
      <c r="A9" s="6" t="s">
        <v>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5">
      <c r="A11" s="170" t="s">
        <v>8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</row>
    <row r="12" spans="1:19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25">
      <c r="A13" s="6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5.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x14ac:dyDescent="0.25">
      <c r="A15" s="2" t="s">
        <v>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5.75" x14ac:dyDescent="0.25">
      <c r="A16" s="2" t="s">
        <v>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97.9" customHeight="1" x14ac:dyDescent="0.25">
      <c r="A17" s="206" t="s">
        <v>22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</row>
    <row r="18" spans="1:1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75" x14ac:dyDescent="0.25">
      <c r="A19" s="2" t="s">
        <v>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5">
      <c r="A20" s="6" t="s">
        <v>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5">
      <c r="A21" s="206" t="s">
        <v>10</v>
      </c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</row>
    <row r="22" spans="1:19" x14ac:dyDescent="0.25">
      <c r="A22" s="206" t="s">
        <v>11</v>
      </c>
      <c r="B22" s="206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</row>
    <row r="25" spans="1:19" x14ac:dyDescent="0.25">
      <c r="A25" t="s">
        <v>80</v>
      </c>
    </row>
  </sheetData>
  <mergeCells count="5">
    <mergeCell ref="A2:S2"/>
    <mergeCell ref="A11:S11"/>
    <mergeCell ref="A22:S22"/>
    <mergeCell ref="A17:S17"/>
    <mergeCell ref="A21:S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0ED1-B514-45E7-83AB-ABD2AA04A8E9}">
  <dimension ref="A1:U43"/>
  <sheetViews>
    <sheetView showGridLines="0" view="pageBreakPreview" topLeftCell="A10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24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44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45964</v>
      </c>
      <c r="B28" s="159" t="s">
        <v>125</v>
      </c>
      <c r="C28" s="139" t="str">
        <f>A6</f>
        <v>2:1/1%</v>
      </c>
      <c r="D28" s="140">
        <v>5</v>
      </c>
      <c r="E28" s="96">
        <v>-3.7999999999999999E-2</v>
      </c>
      <c r="F28" s="97">
        <v>1.22</v>
      </c>
      <c r="G28" s="129">
        <f>E28-((B6-1)*100)</f>
        <v>-0.12567000000000636</v>
      </c>
      <c r="H28" s="129">
        <f>F28+C6</f>
        <v>4.8869999999999996</v>
      </c>
      <c r="I28" s="130">
        <f>1-(G28/100)</f>
        <v>1.0012567000000001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4.8869999999999996</v>
      </c>
      <c r="N28" s="21">
        <f t="shared" ref="N28:N42" si="1">IFERROR(VLOOKUP($A$6,C28:I28,7,0),0)</f>
        <v>1.0012567000000001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45964</v>
      </c>
      <c r="B29" s="160" t="s">
        <v>125</v>
      </c>
      <c r="C29" s="141" t="str">
        <f t="shared" ref="C29" si="4">A7</f>
        <v>2:1/5%</v>
      </c>
      <c r="D29" s="142">
        <v>5</v>
      </c>
      <c r="E29" s="86">
        <v>-0.06</v>
      </c>
      <c r="F29" s="64">
        <v>2.95</v>
      </c>
      <c r="G29" s="131">
        <f t="shared" ref="G29" si="5">E29-((B7-1)*100)</f>
        <v>-0.1246699999999889</v>
      </c>
      <c r="H29" s="131">
        <f t="shared" ref="H29" si="6">F29+C7</f>
        <v>4.5730000000000004</v>
      </c>
      <c r="I29" s="132">
        <f t="shared" ref="I29:I30" si="7">1-(G29/100)</f>
        <v>1.0012466999999998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4.5730000000000004</v>
      </c>
      <c r="P29" s="21">
        <f t="shared" si="3"/>
        <v>1.0012466999999998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45964</v>
      </c>
      <c r="B30" s="160" t="s">
        <v>125</v>
      </c>
      <c r="C30" s="141" t="str">
        <f>A9</f>
        <v>2:1/20%</v>
      </c>
      <c r="D30" s="142">
        <v>5</v>
      </c>
      <c r="E30" s="86">
        <v>-8.1000000000000003E-2</v>
      </c>
      <c r="F30" s="64">
        <v>2.0499999999999998</v>
      </c>
      <c r="G30" s="131">
        <f>E30-((B9-1)*100)</f>
        <v>-0.13200000000000106</v>
      </c>
      <c r="H30" s="131">
        <f>F30+C9</f>
        <v>2.88</v>
      </c>
      <c r="I30" s="132">
        <f t="shared" si="7"/>
        <v>1.00132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2.88</v>
      </c>
      <c r="R30" s="21">
        <f>IFERROR(VLOOKUP($A$9,C30:I30,7,0),IFERROR(VLOOKUP($A$12,C30:I30,7,0),IFERROR(VLOOKUP($A$14,C30:I30,7,0),0)))</f>
        <v>1.00132</v>
      </c>
    </row>
    <row r="31" spans="1:21" s="10" customFormat="1" ht="13.9" customHeight="1" x14ac:dyDescent="0.25">
      <c r="A31" s="161">
        <v>45964</v>
      </c>
      <c r="B31" s="160" t="s">
        <v>125</v>
      </c>
      <c r="C31" s="141" t="str">
        <f>A12</f>
        <v>2:1/100%</v>
      </c>
      <c r="D31" s="142">
        <v>5</v>
      </c>
      <c r="E31" s="86">
        <v>-5.1999999999999998E-2</v>
      </c>
      <c r="F31" s="64">
        <v>0.24</v>
      </c>
      <c r="G31" s="131">
        <f>E31-((B12-1)*100)</f>
        <v>-9.4000000000008688E-2</v>
      </c>
      <c r="H31" s="131">
        <f>F31+C12</f>
        <v>0.92</v>
      </c>
      <c r="I31" s="132">
        <f>1-(G31/100)</f>
        <v>1.0009400000000002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0.92</v>
      </c>
      <c r="R31" s="21">
        <f t="shared" ref="R31:R41" si="10">IFERROR(VLOOKUP($A$9,C31:I31,7,0),IFERROR(VLOOKUP($A$12,C31:I31,7,0),IFERROR(VLOOKUP($A$14,C31:I31,7,0),0)))</f>
        <v>1.0009400000000002</v>
      </c>
    </row>
    <row r="32" spans="1:21" s="10" customFormat="1" ht="13.9" customHeight="1" thickBot="1" x14ac:dyDescent="0.3">
      <c r="A32" s="165">
        <v>45964</v>
      </c>
      <c r="B32" s="166" t="s">
        <v>125</v>
      </c>
      <c r="C32" s="143" t="str">
        <f>A13</f>
        <v>2:1/120%</v>
      </c>
      <c r="D32" s="144">
        <v>5</v>
      </c>
      <c r="E32" s="126">
        <v>-4.7E-2</v>
      </c>
      <c r="F32" s="127">
        <v>0.1</v>
      </c>
      <c r="G32" s="133">
        <f>E32-((B13-1)*100)</f>
        <v>-8.9999999999993044E-2</v>
      </c>
      <c r="H32" s="133">
        <f>F32+C13</f>
        <v>0.77300000000000002</v>
      </c>
      <c r="I32" s="134">
        <f t="shared" ref="I32" si="11">1-(G32/100)</f>
        <v>1.0008999999999999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0.77300000000000002</v>
      </c>
      <c r="R32" s="148">
        <f>I32</f>
        <v>1.0008999999999999</v>
      </c>
    </row>
    <row r="33" spans="1:21" s="10" customFormat="1" ht="13.9" customHeight="1" thickTop="1" x14ac:dyDescent="0.25">
      <c r="A33" s="164">
        <v>45964</v>
      </c>
      <c r="B33" s="123" t="s">
        <v>126</v>
      </c>
      <c r="C33" s="145" t="str">
        <f>A6</f>
        <v>2:1/1%</v>
      </c>
      <c r="D33" s="145">
        <v>5</v>
      </c>
      <c r="E33" s="124">
        <v>-0.122</v>
      </c>
      <c r="F33" s="125">
        <v>5.26</v>
      </c>
      <c r="G33" s="135">
        <f>E33-((B6-1)*100)</f>
        <v>-0.20967000000000635</v>
      </c>
      <c r="H33" s="135">
        <f>F33+C6</f>
        <v>8.9269999999999996</v>
      </c>
      <c r="I33" s="136">
        <f>1-(G33/100)</f>
        <v>1.0020967000000001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8.9269999999999996</v>
      </c>
      <c r="N33" s="21">
        <f t="shared" si="1"/>
        <v>1.0020967000000001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45964</v>
      </c>
      <c r="B34" s="160" t="s">
        <v>126</v>
      </c>
      <c r="C34" s="142" t="str">
        <f>A7</f>
        <v>2:1/5%</v>
      </c>
      <c r="D34" s="142">
        <v>5</v>
      </c>
      <c r="E34" s="86">
        <v>-1.3100000000000001E-2</v>
      </c>
      <c r="F34" s="64">
        <v>6.4</v>
      </c>
      <c r="G34" s="131">
        <f>E34-((B7-1)*100)</f>
        <v>-7.7769999999988904E-2</v>
      </c>
      <c r="H34" s="131">
        <f>F34+C7</f>
        <v>8.0229999999999997</v>
      </c>
      <c r="I34" s="132">
        <f t="shared" ref="I34:I35" si="12">1-(G34/100)</f>
        <v>1.0007777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8.0229999999999997</v>
      </c>
      <c r="P34" s="21">
        <f t="shared" si="3"/>
        <v>1.0007777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45964</v>
      </c>
      <c r="B35" s="160" t="s">
        <v>126</v>
      </c>
      <c r="C35" s="142" t="str">
        <f>A9</f>
        <v>2:1/20%</v>
      </c>
      <c r="D35" s="142">
        <v>5</v>
      </c>
      <c r="E35" s="86">
        <v>-0.13900000000000001</v>
      </c>
      <c r="F35" s="64">
        <v>3.55</v>
      </c>
      <c r="G35" s="131">
        <f>E35-((B9-1)*100)</f>
        <v>-0.19000000000000106</v>
      </c>
      <c r="H35" s="131">
        <f>F35+C9</f>
        <v>4.38</v>
      </c>
      <c r="I35" s="132">
        <f t="shared" si="12"/>
        <v>1.0019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4.38</v>
      </c>
      <c r="R35" s="21">
        <f t="shared" si="10"/>
        <v>1.0019</v>
      </c>
    </row>
    <row r="36" spans="1:21" s="10" customFormat="1" ht="13.9" customHeight="1" x14ac:dyDescent="0.25">
      <c r="A36" s="161">
        <v>45964</v>
      </c>
      <c r="B36" s="160" t="s">
        <v>126</v>
      </c>
      <c r="C36" s="142" t="str">
        <f>A12</f>
        <v>2:1/100%</v>
      </c>
      <c r="D36" s="142">
        <v>5</v>
      </c>
      <c r="E36" s="86">
        <v>-8.1000000000000003E-2</v>
      </c>
      <c r="F36" s="64">
        <v>0.25</v>
      </c>
      <c r="G36" s="131">
        <f>E36-((B12-1)*100)</f>
        <v>-0.1230000000000087</v>
      </c>
      <c r="H36" s="131">
        <f>F36+C12</f>
        <v>0.93</v>
      </c>
      <c r="I36" s="132">
        <f>1-(G36/100)</f>
        <v>1.0012300000000001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0.93</v>
      </c>
      <c r="R36" s="21">
        <f t="shared" si="10"/>
        <v>1.0012300000000001</v>
      </c>
    </row>
    <row r="37" spans="1:21" s="10" customFormat="1" ht="13.9" customHeight="1" thickBot="1" x14ac:dyDescent="0.3">
      <c r="A37" s="165">
        <v>45964</v>
      </c>
      <c r="B37" s="166" t="s">
        <v>126</v>
      </c>
      <c r="C37" s="144" t="str">
        <f>A13</f>
        <v>2:1/120%</v>
      </c>
      <c r="D37" s="144">
        <v>5</v>
      </c>
      <c r="E37" s="126">
        <v>-7.2999999999999995E-2</v>
      </c>
      <c r="F37" s="127">
        <v>0.19</v>
      </c>
      <c r="G37" s="133">
        <f>E37-((B13-1)*100)</f>
        <v>-0.11599999999999304</v>
      </c>
      <c r="H37" s="133">
        <f>F37+C13</f>
        <v>0.86299999999999999</v>
      </c>
      <c r="I37" s="134">
        <f t="shared" ref="I37" si="13">1-(G37/100)</f>
        <v>1.0011599999999998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0.86299999999999999</v>
      </c>
      <c r="R37" s="148">
        <f>I37</f>
        <v>1.0011599999999998</v>
      </c>
    </row>
    <row r="38" spans="1:21" s="10" customFormat="1" ht="13.9" customHeight="1" thickTop="1" x14ac:dyDescent="0.25">
      <c r="A38" s="164">
        <v>45964</v>
      </c>
      <c r="B38" s="123" t="s">
        <v>127</v>
      </c>
      <c r="C38" s="145" t="str">
        <f>A6</f>
        <v>2:1/1%</v>
      </c>
      <c r="D38" s="145">
        <v>5</v>
      </c>
      <c r="E38" s="124">
        <v>-6.8000000000000005E-2</v>
      </c>
      <c r="F38" s="125">
        <v>4.96</v>
      </c>
      <c r="G38" s="135">
        <f>E38-((B6-1)*100)</f>
        <v>-0.15567000000000636</v>
      </c>
      <c r="H38" s="135">
        <f>F38+C6</f>
        <v>8.6269999999999989</v>
      </c>
      <c r="I38" s="136">
        <f>1-(G38/100)</f>
        <v>1.0015567000000001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8.6269999999999989</v>
      </c>
      <c r="N38" s="21">
        <f t="shared" si="1"/>
        <v>1.0015567000000001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45964</v>
      </c>
      <c r="B39" s="160" t="s">
        <v>127</v>
      </c>
      <c r="C39" s="142" t="str">
        <f>A7</f>
        <v>2:1/5%</v>
      </c>
      <c r="D39" s="142">
        <v>5</v>
      </c>
      <c r="E39" s="86">
        <v>-7.1999999999999995E-2</v>
      </c>
      <c r="F39" s="64">
        <v>4.92</v>
      </c>
      <c r="G39" s="131">
        <f>E39-((B7-1)*100)</f>
        <v>-0.13666999999998891</v>
      </c>
      <c r="H39" s="131">
        <f>F39+C7</f>
        <v>6.5430000000000001</v>
      </c>
      <c r="I39" s="132">
        <f t="shared" ref="I39:I40" si="14">1-(G39/100)</f>
        <v>1.0013666999999999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6.5430000000000001</v>
      </c>
      <c r="P39" s="21">
        <f t="shared" si="3"/>
        <v>1.0013666999999999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45964</v>
      </c>
      <c r="B40" s="160" t="s">
        <v>127</v>
      </c>
      <c r="C40" s="142" t="str">
        <f>A9</f>
        <v>2:1/20%</v>
      </c>
      <c r="D40" s="142">
        <v>5</v>
      </c>
      <c r="E40" s="86">
        <v>-9.2999999999999999E-2</v>
      </c>
      <c r="F40" s="64">
        <v>3.18</v>
      </c>
      <c r="G40" s="131">
        <f>E40-((B9-1)*100)</f>
        <v>-0.14400000000000104</v>
      </c>
      <c r="H40" s="131">
        <f>F40+C9</f>
        <v>4.01</v>
      </c>
      <c r="I40" s="132">
        <f t="shared" si="14"/>
        <v>1.0014400000000001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4.01</v>
      </c>
      <c r="R40" s="21">
        <f t="shared" si="10"/>
        <v>1.0014400000000001</v>
      </c>
    </row>
    <row r="41" spans="1:21" s="10" customFormat="1" ht="13.9" customHeight="1" x14ac:dyDescent="0.25">
      <c r="A41" s="161">
        <v>45964</v>
      </c>
      <c r="B41" s="160" t="s">
        <v>127</v>
      </c>
      <c r="C41" s="142" t="str">
        <f>A12</f>
        <v>2:1/100%</v>
      </c>
      <c r="D41" s="142">
        <v>5</v>
      </c>
      <c r="E41" s="86">
        <v>-7.9000000000000001E-2</v>
      </c>
      <c r="F41" s="64">
        <v>1.93</v>
      </c>
      <c r="G41" s="131">
        <f>E41-((B12-1)*100)</f>
        <v>-0.1210000000000087</v>
      </c>
      <c r="H41" s="131">
        <f>F41+C12</f>
        <v>2.61</v>
      </c>
      <c r="I41" s="132">
        <f>1-(G41/100)</f>
        <v>1.0012100000000002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2.61</v>
      </c>
      <c r="R41" s="21">
        <f t="shared" si="10"/>
        <v>1.0012100000000002</v>
      </c>
    </row>
    <row r="42" spans="1:21" s="10" customFormat="1" ht="13.9" customHeight="1" thickBot="1" x14ac:dyDescent="0.3">
      <c r="A42" s="162">
        <v>45964</v>
      </c>
      <c r="B42" s="163" t="s">
        <v>127</v>
      </c>
      <c r="C42" s="146" t="str">
        <f>A13</f>
        <v>2:1/120%</v>
      </c>
      <c r="D42" s="146">
        <v>5</v>
      </c>
      <c r="E42" s="87">
        <v>-0.10199999999999999</v>
      </c>
      <c r="F42" s="85">
        <v>4.32</v>
      </c>
      <c r="G42" s="137">
        <f>E42-((B13-1)*100)</f>
        <v>-0.14499999999999302</v>
      </c>
      <c r="H42" s="137">
        <f>F42+C13</f>
        <v>4.9930000000000003</v>
      </c>
      <c r="I42" s="138">
        <f t="shared" ref="I42" si="16">1-(G42/100)</f>
        <v>1.00145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4.9930000000000003</v>
      </c>
      <c r="R42" s="148">
        <f>I42</f>
        <v>1.00145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8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ED03-5600-4F2C-8ABC-1CFA6DECBAC4}">
  <sheetPr>
    <tabColor theme="0"/>
  </sheetPr>
  <dimension ref="A1:U43"/>
  <sheetViews>
    <sheetView showGridLines="0" view="pageBreakPreview" topLeftCell="A13" zoomScaleNormal="115" zoomScaleSheetLayoutView="10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21.5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122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122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122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1">
        <v>45957</v>
      </c>
      <c r="B31" s="160" t="s">
        <v>122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5">
        <v>45957</v>
      </c>
      <c r="B32" s="166" t="s">
        <v>122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4">
        <v>45957</v>
      </c>
      <c r="B33" s="123" t="s">
        <v>123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123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123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1">
        <v>45957</v>
      </c>
      <c r="B36" s="160" t="s">
        <v>123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5">
        <v>45957</v>
      </c>
      <c r="B37" s="166" t="s">
        <v>123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4">
        <v>45957</v>
      </c>
      <c r="B38" s="123" t="s">
        <v>124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124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124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1">
        <v>45957</v>
      </c>
      <c r="B41" s="160" t="s">
        <v>124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2">
        <v>45957</v>
      </c>
      <c r="B42" s="163" t="s">
        <v>124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7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8FCD-002E-4246-9DE6-44AD2C581CEE}">
  <dimension ref="A1:U43"/>
  <sheetViews>
    <sheetView showGridLines="0" view="pageBreakPreview" topLeftCell="A10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29.4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128</v>
      </c>
      <c r="C28" s="139" t="str">
        <f>A6</f>
        <v>2:1/1%</v>
      </c>
      <c r="D28" s="140">
        <v>5</v>
      </c>
      <c r="E28" s="96">
        <v>-9.9000000000000005E-2</v>
      </c>
      <c r="F28" s="97">
        <v>5.5</v>
      </c>
      <c r="G28" s="129">
        <f>E28-((B6-1)*100)</f>
        <v>-0.18667000000000636</v>
      </c>
      <c r="H28" s="129">
        <f>F28+C6</f>
        <v>9.1669999999999998</v>
      </c>
      <c r="I28" s="130">
        <f>1-(G28/100)</f>
        <v>1.0018667000000001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9.1669999999999998</v>
      </c>
      <c r="N28" s="21">
        <f t="shared" ref="N28:N42" si="1">IFERROR(VLOOKUP($A$6,C28:I28,7,0),0)</f>
        <v>1.0018667000000001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128</v>
      </c>
      <c r="C29" s="141" t="str">
        <f t="shared" ref="C29" si="4">A7</f>
        <v>2:1/5%</v>
      </c>
      <c r="D29" s="142">
        <v>5</v>
      </c>
      <c r="E29" s="86">
        <v>-0.106</v>
      </c>
      <c r="F29" s="64">
        <v>5.54</v>
      </c>
      <c r="G29" s="131">
        <f t="shared" ref="G29" si="5">E29-((B7-1)*100)</f>
        <v>-0.17066999999998889</v>
      </c>
      <c r="H29" s="131">
        <f t="shared" ref="H29" si="6">F29+C7</f>
        <v>7.1630000000000003</v>
      </c>
      <c r="I29" s="132">
        <f t="shared" ref="I29:I30" si="7">1-(G29/100)</f>
        <v>1.0017066999999999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7.1630000000000003</v>
      </c>
      <c r="P29" s="21">
        <f t="shared" si="3"/>
        <v>1.0017066999999999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128</v>
      </c>
      <c r="C30" s="141" t="str">
        <f>A9</f>
        <v>2:1/20%</v>
      </c>
      <c r="D30" s="142">
        <v>5</v>
      </c>
      <c r="E30" s="86">
        <v>-0.126</v>
      </c>
      <c r="F30" s="64">
        <v>3.2</v>
      </c>
      <c r="G30" s="131">
        <f>E30-((B9-1)*100)</f>
        <v>-0.17700000000000105</v>
      </c>
      <c r="H30" s="131">
        <f>F30+C9</f>
        <v>4.03</v>
      </c>
      <c r="I30" s="132">
        <f t="shared" si="7"/>
        <v>1.00177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4.03</v>
      </c>
      <c r="R30" s="21">
        <f>IFERROR(VLOOKUP($A$9,C30:I30,7,0),IFERROR(VLOOKUP($A$12,C30:I30,7,0),IFERROR(VLOOKUP($A$14,C30:I30,7,0),0)))</f>
        <v>1.00177</v>
      </c>
    </row>
    <row r="31" spans="1:21" s="10" customFormat="1" ht="13.9" customHeight="1" x14ac:dyDescent="0.25">
      <c r="A31" s="161">
        <v>45957</v>
      </c>
      <c r="B31" s="160" t="s">
        <v>128</v>
      </c>
      <c r="C31" s="141" t="str">
        <f>A12</f>
        <v>2:1/100%</v>
      </c>
      <c r="D31" s="142">
        <v>5</v>
      </c>
      <c r="E31" s="86">
        <v>-7.2999999999999995E-2</v>
      </c>
      <c r="F31" s="64">
        <v>0.37</v>
      </c>
      <c r="G31" s="131">
        <f>E31-((B12-1)*100)</f>
        <v>-0.11500000000000869</v>
      </c>
      <c r="H31" s="131">
        <f>F31+C12</f>
        <v>1.05</v>
      </c>
      <c r="I31" s="132">
        <f>1-(G31/100)</f>
        <v>1.00115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1.05</v>
      </c>
      <c r="R31" s="21">
        <f t="shared" ref="R31:R41" si="10">IFERROR(VLOOKUP($A$9,C31:I31,7,0),IFERROR(VLOOKUP($A$12,C31:I31,7,0),IFERROR(VLOOKUP($A$14,C31:I31,7,0),0)))</f>
        <v>1.00115</v>
      </c>
    </row>
    <row r="32" spans="1:21" s="10" customFormat="1" ht="13.9" customHeight="1" thickBot="1" x14ac:dyDescent="0.3">
      <c r="A32" s="165">
        <v>45957</v>
      </c>
      <c r="B32" s="166" t="s">
        <v>128</v>
      </c>
      <c r="C32" s="143" t="str">
        <f>A13</f>
        <v>2:1/120%</v>
      </c>
      <c r="D32" s="144">
        <v>5</v>
      </c>
      <c r="E32" s="126">
        <v>-6.8000000000000005E-2</v>
      </c>
      <c r="F32" s="127">
        <v>0.32</v>
      </c>
      <c r="G32" s="133">
        <f>E32-((B13-1)*100)</f>
        <v>-0.11099999999999305</v>
      </c>
      <c r="H32" s="133">
        <f>F32+C13</f>
        <v>0.9930000000000001</v>
      </c>
      <c r="I32" s="134">
        <f t="shared" ref="I32" si="11">1-(G32/100)</f>
        <v>1.0011099999999999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0.9930000000000001</v>
      </c>
      <c r="R32" s="148">
        <f>I32</f>
        <v>1.0011099999999999</v>
      </c>
    </row>
    <row r="33" spans="1:21" s="10" customFormat="1" ht="13.9" customHeight="1" thickTop="1" x14ac:dyDescent="0.25">
      <c r="A33" s="164">
        <v>45957</v>
      </c>
      <c r="B33" s="123" t="s">
        <v>129</v>
      </c>
      <c r="C33" s="145" t="str">
        <f>A6</f>
        <v>2:1/1%</v>
      </c>
      <c r="D33" s="145">
        <v>5</v>
      </c>
      <c r="E33" s="124">
        <v>-8.5999999999999993E-2</v>
      </c>
      <c r="F33" s="125">
        <v>3.98</v>
      </c>
      <c r="G33" s="135">
        <f>E33-((B6-1)*100)</f>
        <v>-0.17367000000000635</v>
      </c>
      <c r="H33" s="135">
        <f>F33+C6</f>
        <v>7.6470000000000002</v>
      </c>
      <c r="I33" s="136">
        <f>1-(G33/100)</f>
        <v>1.0017367000000001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7.6470000000000002</v>
      </c>
      <c r="N33" s="21">
        <f t="shared" si="1"/>
        <v>1.0017367000000001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129</v>
      </c>
      <c r="C34" s="142" t="str">
        <f>A7</f>
        <v>2:1/5%</v>
      </c>
      <c r="D34" s="142">
        <v>5</v>
      </c>
      <c r="E34" s="86">
        <v>-9.8000000000000004E-2</v>
      </c>
      <c r="F34" s="64">
        <v>5.13</v>
      </c>
      <c r="G34" s="131">
        <f>E34-((B7-1)*100)</f>
        <v>-0.16266999999998891</v>
      </c>
      <c r="H34" s="131">
        <f>F34+C7</f>
        <v>6.7530000000000001</v>
      </c>
      <c r="I34" s="132">
        <f t="shared" ref="I34:I35" si="12">1-(G34/100)</f>
        <v>1.0016266999999999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6.7530000000000001</v>
      </c>
      <c r="P34" s="21">
        <f t="shared" si="3"/>
        <v>1.0016266999999999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129</v>
      </c>
      <c r="C35" s="142" t="str">
        <f>A9</f>
        <v>2:1/20%</v>
      </c>
      <c r="D35" s="142">
        <v>5</v>
      </c>
      <c r="E35" s="86">
        <v>-0.115</v>
      </c>
      <c r="F35" s="64">
        <v>2.94</v>
      </c>
      <c r="G35" s="131">
        <f>E35-((B9-1)*100)</f>
        <v>-0.16600000000000104</v>
      </c>
      <c r="H35" s="131">
        <f>F35+C9</f>
        <v>3.77</v>
      </c>
      <c r="I35" s="132">
        <f t="shared" si="12"/>
        <v>1.00166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3.77</v>
      </c>
      <c r="R35" s="21">
        <f t="shared" si="10"/>
        <v>1.00166</v>
      </c>
    </row>
    <row r="36" spans="1:21" s="10" customFormat="1" ht="13.9" customHeight="1" x14ac:dyDescent="0.25">
      <c r="A36" s="161">
        <v>45957</v>
      </c>
      <c r="B36" s="160" t="s">
        <v>129</v>
      </c>
      <c r="C36" s="142" t="str">
        <f>A12</f>
        <v>2:1/100%</v>
      </c>
      <c r="D36" s="142">
        <v>5</v>
      </c>
      <c r="E36" s="86">
        <v>-6.8000000000000005E-2</v>
      </c>
      <c r="F36" s="64">
        <v>0.34</v>
      </c>
      <c r="G36" s="131">
        <f>E36-((B12-1)*100)</f>
        <v>-0.1100000000000087</v>
      </c>
      <c r="H36" s="131">
        <f>F36+C12</f>
        <v>1.02</v>
      </c>
      <c r="I36" s="132">
        <f>1-(G36/100)</f>
        <v>1.0011000000000001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1.02</v>
      </c>
      <c r="R36" s="21">
        <f t="shared" si="10"/>
        <v>1.0011000000000001</v>
      </c>
    </row>
    <row r="37" spans="1:21" s="10" customFormat="1" ht="13.9" customHeight="1" thickBot="1" x14ac:dyDescent="0.3">
      <c r="A37" s="165">
        <v>45957</v>
      </c>
      <c r="B37" s="166" t="s">
        <v>129</v>
      </c>
      <c r="C37" s="144" t="str">
        <f>A13</f>
        <v>2:1/120%</v>
      </c>
      <c r="D37" s="144">
        <v>5</v>
      </c>
      <c r="E37" s="126">
        <v>-6.2E-2</v>
      </c>
      <c r="F37" s="127">
        <v>0.2</v>
      </c>
      <c r="G37" s="133">
        <f>E37-((B13-1)*100)</f>
        <v>-0.10499999999999304</v>
      </c>
      <c r="H37" s="133">
        <f>F37+C13</f>
        <v>0.873</v>
      </c>
      <c r="I37" s="134">
        <f t="shared" ref="I37" si="13">1-(G37/100)</f>
        <v>1.00105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0.873</v>
      </c>
      <c r="R37" s="148">
        <f>I37</f>
        <v>1.00105</v>
      </c>
    </row>
    <row r="38" spans="1:21" s="10" customFormat="1" ht="13.9" customHeight="1" thickTop="1" x14ac:dyDescent="0.25">
      <c r="A38" s="164">
        <v>45957</v>
      </c>
      <c r="B38" s="123" t="s">
        <v>130</v>
      </c>
      <c r="C38" s="145" t="str">
        <f>A6</f>
        <v>2:1/1%</v>
      </c>
      <c r="D38" s="145">
        <v>5</v>
      </c>
      <c r="E38" s="124">
        <v>-0.124</v>
      </c>
      <c r="F38" s="125">
        <v>9.09</v>
      </c>
      <c r="G38" s="135">
        <f>E38-((B6-1)*100)</f>
        <v>-0.21167000000000635</v>
      </c>
      <c r="H38" s="135">
        <f>F38+C6</f>
        <v>12.757</v>
      </c>
      <c r="I38" s="136">
        <f>1-(G38/100)</f>
        <v>1.0021167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12.757</v>
      </c>
      <c r="N38" s="21">
        <f t="shared" si="1"/>
        <v>1.0021167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130</v>
      </c>
      <c r="C39" s="142" t="str">
        <f>A7</f>
        <v>2:1/5%</v>
      </c>
      <c r="D39" s="142">
        <v>5</v>
      </c>
      <c r="E39" s="86">
        <v>-0.13500000000000001</v>
      </c>
      <c r="F39" s="64">
        <v>8.6</v>
      </c>
      <c r="G39" s="131">
        <f>E39-((B7-1)*100)</f>
        <v>-0.19966999999998891</v>
      </c>
      <c r="H39" s="131">
        <f>F39+C7</f>
        <v>10.222999999999999</v>
      </c>
      <c r="I39" s="132">
        <f t="shared" ref="I39:I40" si="14">1-(G39/100)</f>
        <v>1.0019966999999999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10.222999999999999</v>
      </c>
      <c r="P39" s="21">
        <f t="shared" si="3"/>
        <v>1.0019966999999999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130</v>
      </c>
      <c r="C40" s="142" t="str">
        <f>A9</f>
        <v>2:1/20%</v>
      </c>
      <c r="D40" s="142">
        <v>5</v>
      </c>
      <c r="E40" s="86">
        <v>-0.156</v>
      </c>
      <c r="F40" s="64">
        <v>4.9400000000000004</v>
      </c>
      <c r="G40" s="131">
        <f>E40-((B9-1)*100)</f>
        <v>-0.20700000000000104</v>
      </c>
      <c r="H40" s="131">
        <f>F40+C9</f>
        <v>5.7700000000000005</v>
      </c>
      <c r="I40" s="132">
        <f t="shared" si="14"/>
        <v>1.00207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5.7700000000000005</v>
      </c>
      <c r="R40" s="21">
        <f t="shared" si="10"/>
        <v>1.00207</v>
      </c>
    </row>
    <row r="41" spans="1:21" s="10" customFormat="1" ht="13.9" customHeight="1" x14ac:dyDescent="0.25">
      <c r="A41" s="161">
        <v>45957</v>
      </c>
      <c r="B41" s="160" t="s">
        <v>130</v>
      </c>
      <c r="C41" s="142" t="str">
        <f>A12</f>
        <v>2:1/100%</v>
      </c>
      <c r="D41" s="142">
        <v>5</v>
      </c>
      <c r="E41" s="86">
        <v>-0.10100000000000001</v>
      </c>
      <c r="F41" s="64">
        <v>1.44</v>
      </c>
      <c r="G41" s="131">
        <f>E41-((B12-1)*100)</f>
        <v>-0.1430000000000087</v>
      </c>
      <c r="H41" s="131">
        <f>F41+C12</f>
        <v>2.12</v>
      </c>
      <c r="I41" s="132">
        <f>1-(G41/100)</f>
        <v>1.00143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2.12</v>
      </c>
      <c r="R41" s="21">
        <f t="shared" si="10"/>
        <v>1.00143</v>
      </c>
    </row>
    <row r="42" spans="1:21" s="10" customFormat="1" ht="13.9" customHeight="1" thickBot="1" x14ac:dyDescent="0.3">
      <c r="A42" s="162">
        <v>45957</v>
      </c>
      <c r="B42" s="163" t="s">
        <v>130</v>
      </c>
      <c r="C42" s="146" t="str">
        <f>A13</f>
        <v>2:1/120%</v>
      </c>
      <c r="D42" s="146">
        <v>5</v>
      </c>
      <c r="E42" s="87">
        <v>-9.0999999999999998E-2</v>
      </c>
      <c r="F42" s="85">
        <v>1.9</v>
      </c>
      <c r="G42" s="137">
        <f>E42-((B13-1)*100)</f>
        <v>-0.13399999999999304</v>
      </c>
      <c r="H42" s="137">
        <f>F42+C13</f>
        <v>2.573</v>
      </c>
      <c r="I42" s="138">
        <f t="shared" ref="I42" si="16">1-(G42/100)</f>
        <v>1.0013399999999999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2.573</v>
      </c>
      <c r="R42" s="148">
        <f>I42</f>
        <v>1.0013399999999999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6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1DCE-3024-4104-A080-6E46F4E55300}">
  <dimension ref="A1:U43"/>
  <sheetViews>
    <sheetView showGridLines="0" view="pageBreakPreview" topLeftCell="A6" zoomScaleNormal="115" zoomScaleSheetLayoutView="100" workbookViewId="0">
      <selection activeCell="E30" sqref="E30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29.4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140</v>
      </c>
      <c r="C28" s="139" t="str">
        <f>A6</f>
        <v>2:1/1%</v>
      </c>
      <c r="D28" s="140">
        <v>5</v>
      </c>
      <c r="E28" s="96">
        <v>-3.5999999999999997E-2</v>
      </c>
      <c r="F28" s="97">
        <v>2.44</v>
      </c>
      <c r="G28" s="129">
        <f>E28-((B6-1)*100)</f>
        <v>-0.12367000000000636</v>
      </c>
      <c r="H28" s="129">
        <f>F28+C6</f>
        <v>6.1069999999999993</v>
      </c>
      <c r="I28" s="130">
        <f>1-(G28/100)</f>
        <v>1.0012367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6.1069999999999993</v>
      </c>
      <c r="N28" s="21">
        <f t="shared" ref="N28:N42" si="1">IFERROR(VLOOKUP($A$6,C28:I28,7,0),0)</f>
        <v>1.0012367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140</v>
      </c>
      <c r="C29" s="141" t="str">
        <f t="shared" ref="C29" si="4">A7</f>
        <v>2:1/5%</v>
      </c>
      <c r="D29" s="142">
        <v>5</v>
      </c>
      <c r="E29" s="86">
        <v>-3.6999999999999998E-2</v>
      </c>
      <c r="F29" s="64">
        <v>2.67</v>
      </c>
      <c r="G29" s="131">
        <f t="shared" ref="G29" si="5">E29-((B7-1)*100)</f>
        <v>-0.10166999999998891</v>
      </c>
      <c r="H29" s="131">
        <f t="shared" ref="H29" si="6">F29+C7</f>
        <v>4.2930000000000001</v>
      </c>
      <c r="I29" s="132">
        <f t="shared" ref="I29:I30" si="7">1-(G29/100)</f>
        <v>1.0010166999999999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4.2930000000000001</v>
      </c>
      <c r="P29" s="21">
        <f t="shared" si="3"/>
        <v>1.0010166999999999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140</v>
      </c>
      <c r="C30" s="141" t="str">
        <f>A9</f>
        <v>2:1/20%</v>
      </c>
      <c r="D30" s="142">
        <v>5</v>
      </c>
      <c r="E30" s="86">
        <v>-5.2999999999999999E-2</v>
      </c>
      <c r="F30" s="64">
        <v>2.48</v>
      </c>
      <c r="G30" s="131">
        <f>E30-((B9-1)*100)</f>
        <v>-0.10400000000000104</v>
      </c>
      <c r="H30" s="131">
        <f>F30+C9</f>
        <v>3.31</v>
      </c>
      <c r="I30" s="132">
        <f t="shared" si="7"/>
        <v>1.0010399999999999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3.31</v>
      </c>
      <c r="R30" s="21">
        <f>IFERROR(VLOOKUP($A$9,C30:I30,7,0),IFERROR(VLOOKUP($A$12,C30:I30,7,0),IFERROR(VLOOKUP($A$14,C30:I30,7,0),0)))</f>
        <v>1.0010399999999999</v>
      </c>
    </row>
    <row r="31" spans="1:21" s="10" customFormat="1" ht="13.9" customHeight="1" x14ac:dyDescent="0.25">
      <c r="A31" s="161">
        <v>45957</v>
      </c>
      <c r="B31" s="160" t="s">
        <v>140</v>
      </c>
      <c r="C31" s="141" t="str">
        <f>A12</f>
        <v>2:1/100%</v>
      </c>
      <c r="D31" s="142">
        <v>5</v>
      </c>
      <c r="E31" s="86">
        <v>-4.2000000000000003E-2</v>
      </c>
      <c r="F31" s="64">
        <v>0.67</v>
      </c>
      <c r="G31" s="131">
        <f>E31-((B12-1)*100)</f>
        <v>-8.4000000000008707E-2</v>
      </c>
      <c r="H31" s="131">
        <f>F31+C12</f>
        <v>1.35</v>
      </c>
      <c r="I31" s="132">
        <f>1-(G31/100)</f>
        <v>1.0008400000000002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1.35</v>
      </c>
      <c r="R31" s="21">
        <f t="shared" ref="R31:R41" si="10">IFERROR(VLOOKUP($A$9,C31:I31,7,0),IFERROR(VLOOKUP($A$12,C31:I31,7,0),IFERROR(VLOOKUP($A$14,C31:I31,7,0),0)))</f>
        <v>1.0008400000000002</v>
      </c>
    </row>
    <row r="32" spans="1:21" s="10" customFormat="1" ht="13.9" customHeight="1" thickBot="1" x14ac:dyDescent="0.3">
      <c r="A32" s="165">
        <v>45957</v>
      </c>
      <c r="B32" s="166" t="s">
        <v>140</v>
      </c>
      <c r="C32" s="143" t="str">
        <f>A13</f>
        <v>2:1/120%</v>
      </c>
      <c r="D32" s="144">
        <v>5</v>
      </c>
      <c r="E32" s="126">
        <v>-3.6999999999999998E-2</v>
      </c>
      <c r="F32" s="127">
        <v>0.36</v>
      </c>
      <c r="G32" s="133">
        <f>E32-((B13-1)*100)</f>
        <v>-7.9999999999993049E-2</v>
      </c>
      <c r="H32" s="133">
        <f>F32+C13</f>
        <v>1.0329999999999999</v>
      </c>
      <c r="I32" s="134">
        <f t="shared" ref="I32" si="11">1-(G32/100)</f>
        <v>1.0007999999999999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1.0329999999999999</v>
      </c>
      <c r="R32" s="148">
        <f>I32</f>
        <v>1.0007999999999999</v>
      </c>
    </row>
    <row r="33" spans="1:21" s="10" customFormat="1" ht="13.9" customHeight="1" thickTop="1" x14ac:dyDescent="0.25">
      <c r="A33" s="164">
        <v>45957</v>
      </c>
      <c r="B33" s="123" t="s">
        <v>141</v>
      </c>
      <c r="C33" s="145" t="str">
        <f>A6</f>
        <v>2:1/1%</v>
      </c>
      <c r="D33" s="145">
        <v>5</v>
      </c>
      <c r="E33" s="124">
        <v>-3.5999999999999997E-2</v>
      </c>
      <c r="F33" s="125">
        <v>2.14</v>
      </c>
      <c r="G33" s="135">
        <f>E33-((B6-1)*100)</f>
        <v>-0.12367000000000636</v>
      </c>
      <c r="H33" s="135">
        <f>F33+C6</f>
        <v>5.8070000000000004</v>
      </c>
      <c r="I33" s="136">
        <f>1-(G33/100)</f>
        <v>1.0012367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5.8070000000000004</v>
      </c>
      <c r="N33" s="21">
        <f t="shared" si="1"/>
        <v>1.0012367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141</v>
      </c>
      <c r="C34" s="142" t="str">
        <f>A7</f>
        <v>2:1/5%</v>
      </c>
      <c r="D34" s="142">
        <v>5</v>
      </c>
      <c r="E34" s="86">
        <v>-4.2999999999999997E-2</v>
      </c>
      <c r="F34" s="64">
        <v>3</v>
      </c>
      <c r="G34" s="131">
        <f>E34-((B7-1)*100)</f>
        <v>-0.1076699999999889</v>
      </c>
      <c r="H34" s="131">
        <f>F34+C7</f>
        <v>4.6230000000000002</v>
      </c>
      <c r="I34" s="132">
        <f t="shared" ref="I34:I35" si="12">1-(G34/100)</f>
        <v>1.0010766999999998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4.6230000000000002</v>
      </c>
      <c r="P34" s="21">
        <f t="shared" si="3"/>
        <v>1.0010766999999998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141</v>
      </c>
      <c r="C35" s="142" t="str">
        <f>A9</f>
        <v>2:1/20%</v>
      </c>
      <c r="D35" s="142">
        <v>5</v>
      </c>
      <c r="E35" s="86">
        <v>-6.2E-2</v>
      </c>
      <c r="F35" s="64">
        <v>2.15</v>
      </c>
      <c r="G35" s="131">
        <f>E35-((B9-1)*100)</f>
        <v>-0.11300000000000104</v>
      </c>
      <c r="H35" s="131">
        <f>F35+C9</f>
        <v>2.98</v>
      </c>
      <c r="I35" s="132">
        <f t="shared" si="12"/>
        <v>1.0011300000000001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2.98</v>
      </c>
      <c r="R35" s="21">
        <f t="shared" si="10"/>
        <v>1.0011300000000001</v>
      </c>
    </row>
    <row r="36" spans="1:21" s="10" customFormat="1" ht="13.9" customHeight="1" x14ac:dyDescent="0.25">
      <c r="A36" s="161">
        <v>45957</v>
      </c>
      <c r="B36" s="160" t="s">
        <v>141</v>
      </c>
      <c r="C36" s="142" t="str">
        <f>A12</f>
        <v>2:1/100%</v>
      </c>
      <c r="D36" s="142">
        <v>5</v>
      </c>
      <c r="E36" s="86">
        <v>-4.3999999999999997E-2</v>
      </c>
      <c r="F36" s="64">
        <v>0.39</v>
      </c>
      <c r="G36" s="131">
        <f>E36-((B12-1)*100)</f>
        <v>-8.6000000000008694E-2</v>
      </c>
      <c r="H36" s="131">
        <f>F36+C12</f>
        <v>1.07</v>
      </c>
      <c r="I36" s="132">
        <f>1-(G36/100)</f>
        <v>1.0008600000000001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1.07</v>
      </c>
      <c r="R36" s="21">
        <f t="shared" si="10"/>
        <v>1.0008600000000001</v>
      </c>
    </row>
    <row r="37" spans="1:21" s="10" customFormat="1" ht="13.9" customHeight="1" thickBot="1" x14ac:dyDescent="0.3">
      <c r="A37" s="165">
        <v>45957</v>
      </c>
      <c r="B37" s="166" t="s">
        <v>141</v>
      </c>
      <c r="C37" s="144" t="str">
        <f>A13</f>
        <v>2:1/120%</v>
      </c>
      <c r="D37" s="144">
        <v>5</v>
      </c>
      <c r="E37" s="126">
        <v>-4.2000000000000003E-2</v>
      </c>
      <c r="F37" s="127">
        <v>0.23</v>
      </c>
      <c r="G37" s="133">
        <f>E37-((B13-1)*100)</f>
        <v>-8.4999999999993053E-2</v>
      </c>
      <c r="H37" s="133">
        <f>F37+C13</f>
        <v>0.90300000000000002</v>
      </c>
      <c r="I37" s="134">
        <f t="shared" ref="I37" si="13">1-(G37/100)</f>
        <v>1.00085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0.90300000000000002</v>
      </c>
      <c r="R37" s="148">
        <f>I37</f>
        <v>1.00085</v>
      </c>
    </row>
    <row r="38" spans="1:21" s="10" customFormat="1" ht="13.9" customHeight="1" thickTop="1" x14ac:dyDescent="0.25">
      <c r="A38" s="164">
        <v>45957</v>
      </c>
      <c r="B38" s="123" t="s">
        <v>142</v>
      </c>
      <c r="C38" s="145" t="str">
        <f>A6</f>
        <v>2:1/1%</v>
      </c>
      <c r="D38" s="145">
        <v>5</v>
      </c>
      <c r="E38" s="124">
        <v>-2.8000000000000001E-2</v>
      </c>
      <c r="F38" s="125">
        <v>2.33</v>
      </c>
      <c r="G38" s="135">
        <f>E38-((B6-1)*100)</f>
        <v>-0.11567000000000635</v>
      </c>
      <c r="H38" s="135">
        <f>F38+C6</f>
        <v>5.9969999999999999</v>
      </c>
      <c r="I38" s="136">
        <f>1-(G38/100)</f>
        <v>1.0011567000000001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5.9969999999999999</v>
      </c>
      <c r="N38" s="21">
        <f t="shared" si="1"/>
        <v>1.0011567000000001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142</v>
      </c>
      <c r="C39" s="142" t="str">
        <f>A7</f>
        <v>2:1/5%</v>
      </c>
      <c r="D39" s="142">
        <v>5</v>
      </c>
      <c r="E39" s="86">
        <v>-3.6999999999999998E-2</v>
      </c>
      <c r="F39" s="64">
        <v>2.99</v>
      </c>
      <c r="G39" s="131">
        <f>E39-((B7-1)*100)</f>
        <v>-0.10166999999998891</v>
      </c>
      <c r="H39" s="131">
        <f>F39+C7</f>
        <v>4.6130000000000004</v>
      </c>
      <c r="I39" s="132">
        <f t="shared" ref="I39:I40" si="14">1-(G39/100)</f>
        <v>1.0010166999999999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4.6130000000000004</v>
      </c>
      <c r="P39" s="21">
        <f t="shared" si="3"/>
        <v>1.0010166999999999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142</v>
      </c>
      <c r="C40" s="142" t="str">
        <f>A9</f>
        <v>2:1/20%</v>
      </c>
      <c r="D40" s="142">
        <v>5</v>
      </c>
      <c r="E40" s="86">
        <v>-5.8999999999999997E-2</v>
      </c>
      <c r="F40" s="64">
        <v>2.8</v>
      </c>
      <c r="G40" s="131">
        <f>E40-((B9-1)*100)</f>
        <v>-0.11000000000000104</v>
      </c>
      <c r="H40" s="131">
        <f>F40+C9</f>
        <v>3.63</v>
      </c>
      <c r="I40" s="132">
        <f t="shared" si="14"/>
        <v>1.0011000000000001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3.63</v>
      </c>
      <c r="R40" s="21">
        <f t="shared" si="10"/>
        <v>1.0011000000000001</v>
      </c>
    </row>
    <row r="41" spans="1:21" s="10" customFormat="1" ht="13.9" customHeight="1" x14ac:dyDescent="0.25">
      <c r="A41" s="161">
        <v>45957</v>
      </c>
      <c r="B41" s="160" t="s">
        <v>142</v>
      </c>
      <c r="C41" s="142" t="str">
        <f>A12</f>
        <v>2:1/100%</v>
      </c>
      <c r="D41" s="142">
        <v>5</v>
      </c>
      <c r="E41" s="86">
        <v>-0.05</v>
      </c>
      <c r="F41" s="64">
        <v>1.68</v>
      </c>
      <c r="G41" s="131">
        <f>E41-((B12-1)*100)</f>
        <v>-9.20000000000087E-2</v>
      </c>
      <c r="H41" s="131">
        <f>F41+C12</f>
        <v>2.36</v>
      </c>
      <c r="I41" s="132">
        <f>1-(G41/100)</f>
        <v>1.00092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2.36</v>
      </c>
      <c r="R41" s="21">
        <f t="shared" si="10"/>
        <v>1.00092</v>
      </c>
    </row>
    <row r="42" spans="1:21" s="10" customFormat="1" ht="13.9" customHeight="1" thickBot="1" x14ac:dyDescent="0.3">
      <c r="A42" s="162">
        <v>45957</v>
      </c>
      <c r="B42" s="163" t="s">
        <v>142</v>
      </c>
      <c r="C42" s="146" t="str">
        <f>A13</f>
        <v>2:1/120%</v>
      </c>
      <c r="D42" s="146">
        <v>5</v>
      </c>
      <c r="E42" s="87">
        <v>-6.3E-2</v>
      </c>
      <c r="F42" s="85">
        <v>2.2799999999999998</v>
      </c>
      <c r="G42" s="137">
        <f>E42-((B13-1)*100)</f>
        <v>-0.10599999999999304</v>
      </c>
      <c r="H42" s="137">
        <f>F42+C13</f>
        <v>2.9529999999999998</v>
      </c>
      <c r="I42" s="138">
        <f t="shared" ref="I42" si="16">1-(G42/100)</f>
        <v>1.0010599999999998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2.9529999999999998</v>
      </c>
      <c r="R42" s="148">
        <f>I42</f>
        <v>1.0010599999999998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5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7AA4-32AF-41FD-8E01-EB4116BB037D}">
  <sheetPr>
    <tabColor theme="0"/>
  </sheetPr>
  <dimension ref="A1:U43"/>
  <sheetViews>
    <sheetView showGridLines="0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25.9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35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45967</v>
      </c>
      <c r="B28" s="159" t="s">
        <v>143</v>
      </c>
      <c r="C28" s="139" t="str">
        <f>A6</f>
        <v>2:1/1%</v>
      </c>
      <c r="D28" s="140">
        <v>5</v>
      </c>
      <c r="E28" s="96">
        <v>-0.09</v>
      </c>
      <c r="F28" s="97">
        <v>3.86</v>
      </c>
      <c r="G28" s="129">
        <f>E28-((B6-1)*100)</f>
        <v>-0.17767000000000635</v>
      </c>
      <c r="H28" s="129">
        <f>F28+C6</f>
        <v>7.5269999999999992</v>
      </c>
      <c r="I28" s="130">
        <f>1-(G28/100)</f>
        <v>1.0017767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7.5269999999999992</v>
      </c>
      <c r="N28" s="21">
        <f t="shared" ref="N28:N42" si="1">IFERROR(VLOOKUP($A$6,C28:I28,7,0),0)</f>
        <v>1.0017767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45967</v>
      </c>
      <c r="B29" s="160" t="s">
        <v>143</v>
      </c>
      <c r="C29" s="141" t="str">
        <f t="shared" ref="C29" si="4">A7</f>
        <v>2:1/5%</v>
      </c>
      <c r="D29" s="142">
        <v>5</v>
      </c>
      <c r="E29" s="86">
        <v>-0.108</v>
      </c>
      <c r="F29" s="64">
        <v>4.4800000000000004</v>
      </c>
      <c r="G29" s="131">
        <f t="shared" ref="G29" si="5">E29-((B7-1)*100)</f>
        <v>-0.17266999999998889</v>
      </c>
      <c r="H29" s="131">
        <f t="shared" ref="H29" si="6">F29+C7</f>
        <v>6.1030000000000006</v>
      </c>
      <c r="I29" s="132">
        <f t="shared" ref="I29:I30" si="7">1-(G29/100)</f>
        <v>1.0017266999999999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6.1030000000000006</v>
      </c>
      <c r="P29" s="21">
        <f t="shared" si="3"/>
        <v>1.0017266999999999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45967</v>
      </c>
      <c r="B30" s="160" t="s">
        <v>143</v>
      </c>
      <c r="C30" s="141" t="str">
        <f>A9</f>
        <v>2:1/20%</v>
      </c>
      <c r="D30" s="142">
        <v>5</v>
      </c>
      <c r="E30" s="86">
        <v>-0.11600000000000001</v>
      </c>
      <c r="F30" s="64">
        <v>2.61</v>
      </c>
      <c r="G30" s="131">
        <f>E30-((B9-1)*100)</f>
        <v>-0.16700000000000104</v>
      </c>
      <c r="H30" s="131">
        <f>F30+C9</f>
        <v>3.44</v>
      </c>
      <c r="I30" s="132">
        <f t="shared" si="7"/>
        <v>1.0016700000000001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3.44</v>
      </c>
      <c r="R30" s="21">
        <f>IFERROR(VLOOKUP($A$9,C30:I30,7,0),IFERROR(VLOOKUP($A$12,C30:I30,7,0),IFERROR(VLOOKUP($A$14,C30:I30,7,0),0)))</f>
        <v>1.0016700000000001</v>
      </c>
    </row>
    <row r="31" spans="1:21" s="10" customFormat="1" ht="13.9" customHeight="1" x14ac:dyDescent="0.25">
      <c r="A31" s="161">
        <v>45967</v>
      </c>
      <c r="B31" s="160" t="s">
        <v>143</v>
      </c>
      <c r="C31" s="141" t="str">
        <f>A12</f>
        <v>2:1/100%</v>
      </c>
      <c r="D31" s="142">
        <v>5</v>
      </c>
      <c r="E31" s="86">
        <v>-6.0999999999999999E-2</v>
      </c>
      <c r="F31" s="64">
        <v>0.49</v>
      </c>
      <c r="G31" s="131">
        <f>E31-((B12-1)*100)</f>
        <v>-0.1030000000000087</v>
      </c>
      <c r="H31" s="131">
        <f>F31+C12</f>
        <v>1.17</v>
      </c>
      <c r="I31" s="132">
        <f>1-(G31/100)</f>
        <v>1.0010300000000001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1.17</v>
      </c>
      <c r="R31" s="21">
        <f t="shared" ref="R31:R41" si="10">IFERROR(VLOOKUP($A$9,C31:I31,7,0),IFERROR(VLOOKUP($A$12,C31:I31,7,0),IFERROR(VLOOKUP($A$14,C31:I31,7,0),0)))</f>
        <v>1.0010300000000001</v>
      </c>
    </row>
    <row r="32" spans="1:21" s="10" customFormat="1" ht="13.9" customHeight="1" thickBot="1" x14ac:dyDescent="0.3">
      <c r="A32" s="165">
        <v>45967</v>
      </c>
      <c r="B32" s="166" t="s">
        <v>143</v>
      </c>
      <c r="C32" s="143" t="str">
        <f>A13</f>
        <v>2:1/120%</v>
      </c>
      <c r="D32" s="144">
        <v>5</v>
      </c>
      <c r="E32" s="126">
        <v>-5.7000000000000002E-2</v>
      </c>
      <c r="F32" s="127">
        <v>0.24</v>
      </c>
      <c r="G32" s="133">
        <f>E32-((B13-1)*100)</f>
        <v>-9.9999999999993039E-2</v>
      </c>
      <c r="H32" s="133">
        <f>F32+C13</f>
        <v>0.91300000000000003</v>
      </c>
      <c r="I32" s="134">
        <f t="shared" ref="I32" si="11">1-(G32/100)</f>
        <v>1.0009999999999999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0.91300000000000003</v>
      </c>
      <c r="R32" s="148">
        <f>I32</f>
        <v>1.0009999999999999</v>
      </c>
    </row>
    <row r="33" spans="1:21" s="10" customFormat="1" ht="13.9" customHeight="1" thickTop="1" x14ac:dyDescent="0.25">
      <c r="A33" s="164">
        <v>45967</v>
      </c>
      <c r="B33" s="123" t="s">
        <v>144</v>
      </c>
      <c r="C33" s="145" t="str">
        <f>A6</f>
        <v>2:1/1%</v>
      </c>
      <c r="D33" s="145">
        <v>5</v>
      </c>
      <c r="E33" s="124">
        <v>-4.4999999999999998E-2</v>
      </c>
      <c r="F33" s="125">
        <v>1.85</v>
      </c>
      <c r="G33" s="135">
        <f>E33-((B6-1)*100)</f>
        <v>-0.13267000000000634</v>
      </c>
      <c r="H33" s="135">
        <f>F33+C6</f>
        <v>5.5169999999999995</v>
      </c>
      <c r="I33" s="136">
        <f>1-(G33/100)</f>
        <v>1.0013267000000001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5.5169999999999995</v>
      </c>
      <c r="N33" s="21">
        <f t="shared" si="1"/>
        <v>1.0013267000000001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45967</v>
      </c>
      <c r="B34" s="160" t="s">
        <v>144</v>
      </c>
      <c r="C34" s="142" t="str">
        <f>A7</f>
        <v>2:1/5%</v>
      </c>
      <c r="D34" s="142">
        <v>5</v>
      </c>
      <c r="E34" s="86">
        <v>-5.8999999999999997E-2</v>
      </c>
      <c r="F34" s="64">
        <v>3.04</v>
      </c>
      <c r="G34" s="131">
        <f>E34-((B7-1)*100)</f>
        <v>-0.1236699999999889</v>
      </c>
      <c r="H34" s="131">
        <f>F34+C7</f>
        <v>4.6630000000000003</v>
      </c>
      <c r="I34" s="132">
        <f t="shared" ref="I34:I35" si="12">1-(G34/100)</f>
        <v>1.0012367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4.6630000000000003</v>
      </c>
      <c r="P34" s="21">
        <f t="shared" si="3"/>
        <v>1.0012367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45967</v>
      </c>
      <c r="B35" s="160" t="s">
        <v>144</v>
      </c>
      <c r="C35" s="142" t="str">
        <f>A9</f>
        <v>2:1/20%</v>
      </c>
      <c r="D35" s="142">
        <v>5</v>
      </c>
      <c r="E35" s="86">
        <v>-0.08</v>
      </c>
      <c r="F35" s="64">
        <v>2.2400000000000002</v>
      </c>
      <c r="G35" s="131">
        <f>E35-((B9-1)*100)</f>
        <v>-0.13100000000000106</v>
      </c>
      <c r="H35" s="131">
        <f>F35+C9</f>
        <v>3.0700000000000003</v>
      </c>
      <c r="I35" s="132">
        <f t="shared" si="12"/>
        <v>1.0013099999999999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3.0700000000000003</v>
      </c>
      <c r="R35" s="21">
        <f t="shared" si="10"/>
        <v>1.0013099999999999</v>
      </c>
    </row>
    <row r="36" spans="1:21" s="10" customFormat="1" ht="13.9" customHeight="1" x14ac:dyDescent="0.25">
      <c r="A36" s="161">
        <v>45967</v>
      </c>
      <c r="B36" s="160" t="s">
        <v>144</v>
      </c>
      <c r="C36" s="142" t="str">
        <f>A12</f>
        <v>2:1/100%</v>
      </c>
      <c r="D36" s="142">
        <v>5</v>
      </c>
      <c r="E36" s="86">
        <v>-4.9000000000000002E-2</v>
      </c>
      <c r="F36" s="64">
        <v>0.32</v>
      </c>
      <c r="G36" s="131">
        <f>E36-((B12-1)*100)</f>
        <v>-9.1000000000008699E-2</v>
      </c>
      <c r="H36" s="131">
        <f>F36+C12</f>
        <v>1</v>
      </c>
      <c r="I36" s="132">
        <f>1-(G36/100)</f>
        <v>1.0009100000000002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</v>
      </c>
      <c r="R36" s="21">
        <f t="shared" si="10"/>
        <v>1.0009100000000002</v>
      </c>
    </row>
    <row r="37" spans="1:21" s="10" customFormat="1" ht="13.9" customHeight="1" thickBot="1" x14ac:dyDescent="0.3">
      <c r="A37" s="165">
        <v>45967</v>
      </c>
      <c r="B37" s="166" t="s">
        <v>144</v>
      </c>
      <c r="C37" s="144" t="str">
        <f>A13</f>
        <v>2:1/120%</v>
      </c>
      <c r="D37" s="144">
        <v>5</v>
      </c>
      <c r="E37" s="126">
        <v>-4.5999999999999999E-2</v>
      </c>
      <c r="F37" s="127">
        <v>0.16</v>
      </c>
      <c r="G37" s="133">
        <f>E37-((B13-1)*100)</f>
        <v>-8.8999999999993043E-2</v>
      </c>
      <c r="H37" s="133">
        <f>F37+C13</f>
        <v>0.83300000000000007</v>
      </c>
      <c r="I37" s="134">
        <f t="shared" ref="I37" si="13">1-(G37/100)</f>
        <v>1.0008899999999998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0.83300000000000007</v>
      </c>
      <c r="R37" s="148">
        <f>I37</f>
        <v>1.0008899999999998</v>
      </c>
    </row>
    <row r="38" spans="1:21" s="10" customFormat="1" ht="13.9" customHeight="1" thickTop="1" x14ac:dyDescent="0.25">
      <c r="A38" s="164">
        <v>45967</v>
      </c>
      <c r="B38" s="123" t="s">
        <v>145</v>
      </c>
      <c r="C38" s="145" t="str">
        <f>A6</f>
        <v>2:1/1%</v>
      </c>
      <c r="D38" s="145">
        <v>5</v>
      </c>
      <c r="E38" s="124">
        <v>-0.09</v>
      </c>
      <c r="F38" s="125">
        <v>5.7</v>
      </c>
      <c r="G38" s="135">
        <f>E38-((B6-1)*100)</f>
        <v>-0.17767000000000635</v>
      </c>
      <c r="H38" s="135">
        <f>F38+C6</f>
        <v>9.3670000000000009</v>
      </c>
      <c r="I38" s="136">
        <f>1-(G38/100)</f>
        <v>1.0017767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9.3670000000000009</v>
      </c>
      <c r="N38" s="21">
        <f t="shared" si="1"/>
        <v>1.0017767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45967</v>
      </c>
      <c r="B39" s="160" t="s">
        <v>145</v>
      </c>
      <c r="C39" s="142" t="str">
        <f>A7</f>
        <v>2:1/5%</v>
      </c>
      <c r="D39" s="142">
        <v>5</v>
      </c>
      <c r="E39" s="86">
        <v>-9.6000000000000002E-2</v>
      </c>
      <c r="F39" s="64">
        <v>5.58</v>
      </c>
      <c r="G39" s="131">
        <f>E39-((B7-1)*100)</f>
        <v>-0.16066999999998891</v>
      </c>
      <c r="H39" s="131">
        <f>F39+C7</f>
        <v>7.2030000000000003</v>
      </c>
      <c r="I39" s="132">
        <f t="shared" ref="I39:I40" si="14">1-(G39/100)</f>
        <v>1.0016067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7.2030000000000003</v>
      </c>
      <c r="P39" s="21">
        <f t="shared" si="3"/>
        <v>1.0016067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45967</v>
      </c>
      <c r="B40" s="160" t="s">
        <v>145</v>
      </c>
      <c r="C40" s="142" t="str">
        <f>A9</f>
        <v>2:1/20%</v>
      </c>
      <c r="D40" s="142">
        <v>5</v>
      </c>
      <c r="E40" s="86">
        <v>-0.11700000000000001</v>
      </c>
      <c r="F40" s="64">
        <v>3.42</v>
      </c>
      <c r="G40" s="131">
        <f>E40-((B9-1)*100)</f>
        <v>-0.16800000000000104</v>
      </c>
      <c r="H40" s="131">
        <f>F40+C9</f>
        <v>4.25</v>
      </c>
      <c r="I40" s="132">
        <f t="shared" si="14"/>
        <v>1.0016799999999999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4.25</v>
      </c>
      <c r="R40" s="21">
        <f t="shared" si="10"/>
        <v>1.0016799999999999</v>
      </c>
    </row>
    <row r="41" spans="1:21" s="10" customFormat="1" ht="13.9" customHeight="1" x14ac:dyDescent="0.25">
      <c r="A41" s="161">
        <v>45967</v>
      </c>
      <c r="B41" s="160" t="s">
        <v>145</v>
      </c>
      <c r="C41" s="142" t="str">
        <f>A12</f>
        <v>2:1/100%</v>
      </c>
      <c r="D41" s="142">
        <v>5</v>
      </c>
      <c r="E41" s="86">
        <v>-7.3999999999999996E-2</v>
      </c>
      <c r="F41" s="64">
        <v>1.27</v>
      </c>
      <c r="G41" s="131">
        <f>E41-((B12-1)*100)</f>
        <v>-0.11600000000000869</v>
      </c>
      <c r="H41" s="131">
        <f>F41+C12</f>
        <v>1.9500000000000002</v>
      </c>
      <c r="I41" s="132">
        <f>1-(G41/100)</f>
        <v>1.00116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1.9500000000000002</v>
      </c>
      <c r="R41" s="21">
        <f t="shared" si="10"/>
        <v>1.00116</v>
      </c>
    </row>
    <row r="42" spans="1:21" s="10" customFormat="1" ht="13.9" customHeight="1" thickBot="1" x14ac:dyDescent="0.3">
      <c r="A42" s="162">
        <v>45967</v>
      </c>
      <c r="B42" s="163" t="s">
        <v>145</v>
      </c>
      <c r="C42" s="146" t="str">
        <f>A13</f>
        <v>2:1/120%</v>
      </c>
      <c r="D42" s="146">
        <v>5</v>
      </c>
      <c r="E42" s="87">
        <v>-7.6999999999999999E-2</v>
      </c>
      <c r="F42" s="85">
        <v>2.1</v>
      </c>
      <c r="G42" s="137">
        <f>E42-((B13-1)*100)</f>
        <v>-0.11999999999999304</v>
      </c>
      <c r="H42" s="137">
        <f>F42+C13</f>
        <v>2.7730000000000001</v>
      </c>
      <c r="I42" s="138">
        <f t="shared" ref="I42" si="16">1-(G42/100)</f>
        <v>1.0011999999999999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2.7730000000000001</v>
      </c>
      <c r="R42" s="148">
        <f>I42</f>
        <v>1.0011999999999999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4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28FE-99BD-4C40-AC2A-34EFC51A9636}">
  <dimension ref="A1:U43"/>
  <sheetViews>
    <sheetView showGridLines="0" view="pageBreakPreview" topLeftCell="A10" zoomScale="90" zoomScaleNormal="115" zoomScaleSheetLayoutView="90" workbookViewId="0">
      <selection activeCell="E43" sqref="E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29.7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146</v>
      </c>
      <c r="C28" s="139" t="str">
        <f>A6</f>
        <v>2:1/1%</v>
      </c>
      <c r="D28" s="140">
        <v>5</v>
      </c>
      <c r="E28" s="96">
        <v>-4.7E-2</v>
      </c>
      <c r="F28" s="97">
        <v>1.1100000000000001</v>
      </c>
      <c r="G28" s="129">
        <f>E28-((B6-1)*100)</f>
        <v>-0.13467000000000634</v>
      </c>
      <c r="H28" s="129">
        <f>F28+C6</f>
        <v>4.7770000000000001</v>
      </c>
      <c r="I28" s="130">
        <f>1-(G28/100)</f>
        <v>1.0013467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4.7770000000000001</v>
      </c>
      <c r="N28" s="21">
        <f t="shared" ref="N28:N42" si="1">IFERROR(VLOOKUP($A$6,C28:I28,7,0),0)</f>
        <v>1.0013467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146</v>
      </c>
      <c r="C29" s="141" t="str">
        <f t="shared" ref="C29" si="4">A7</f>
        <v>2:1/5%</v>
      </c>
      <c r="D29" s="142">
        <v>5</v>
      </c>
      <c r="E29" s="86">
        <v>-0.06</v>
      </c>
      <c r="F29" s="64">
        <v>2.66</v>
      </c>
      <c r="G29" s="131">
        <f t="shared" ref="G29" si="5">E29-((B7-1)*100)</f>
        <v>-0.1246699999999889</v>
      </c>
      <c r="H29" s="131">
        <f t="shared" ref="H29" si="6">F29+C7</f>
        <v>4.2830000000000004</v>
      </c>
      <c r="I29" s="132">
        <f t="shared" ref="I29:I30" si="7">1-(G29/100)</f>
        <v>1.0012466999999998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4.2830000000000004</v>
      </c>
      <c r="P29" s="21">
        <f t="shared" si="3"/>
        <v>1.0012466999999998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146</v>
      </c>
      <c r="C30" s="141" t="str">
        <f>A9</f>
        <v>2:1/20%</v>
      </c>
      <c r="D30" s="142">
        <v>5</v>
      </c>
      <c r="E30" s="86">
        <v>-7.8E-2</v>
      </c>
      <c r="F30" s="64">
        <v>1.81</v>
      </c>
      <c r="G30" s="131">
        <f>E30-((B9-1)*100)</f>
        <v>-0.12900000000000106</v>
      </c>
      <c r="H30" s="131">
        <f>F30+C9</f>
        <v>2.64</v>
      </c>
      <c r="I30" s="132">
        <f t="shared" si="7"/>
        <v>1.00129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2.64</v>
      </c>
      <c r="R30" s="21">
        <f>IFERROR(VLOOKUP($A$9,C30:I30,7,0),IFERROR(VLOOKUP($A$12,C30:I30,7,0),IFERROR(VLOOKUP($A$14,C30:I30,7,0),0)))</f>
        <v>1.00129</v>
      </c>
    </row>
    <row r="31" spans="1:21" s="10" customFormat="1" ht="13.9" customHeight="1" x14ac:dyDescent="0.25">
      <c r="A31" s="161">
        <v>45957</v>
      </c>
      <c r="B31" s="160" t="s">
        <v>146</v>
      </c>
      <c r="C31" s="141" t="str">
        <f>A12</f>
        <v>2:1/100%</v>
      </c>
      <c r="D31" s="142">
        <v>5</v>
      </c>
      <c r="E31" s="86">
        <v>-4.3999999999999997E-2</v>
      </c>
      <c r="F31" s="64">
        <v>0.22</v>
      </c>
      <c r="G31" s="131">
        <f>E31-((B12-1)*100)</f>
        <v>-8.6000000000008694E-2</v>
      </c>
      <c r="H31" s="131">
        <f>F31+C12</f>
        <v>0.9</v>
      </c>
      <c r="I31" s="132">
        <f>1-(G31/100)</f>
        <v>1.0008600000000001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0.9</v>
      </c>
      <c r="R31" s="21">
        <f t="shared" ref="R31:R41" si="10">IFERROR(VLOOKUP($A$9,C31:I31,7,0),IFERROR(VLOOKUP($A$12,C31:I31,7,0),IFERROR(VLOOKUP($A$14,C31:I31,7,0),0)))</f>
        <v>1.0008600000000001</v>
      </c>
    </row>
    <row r="32" spans="1:21" s="10" customFormat="1" ht="13.9" customHeight="1" thickBot="1" x14ac:dyDescent="0.3">
      <c r="A32" s="165">
        <v>45957</v>
      </c>
      <c r="B32" s="166" t="s">
        <v>146</v>
      </c>
      <c r="C32" s="143" t="str">
        <f>A13</f>
        <v>2:1/120%</v>
      </c>
      <c r="D32" s="144">
        <v>5</v>
      </c>
      <c r="E32" s="126">
        <v>-4.1000000000000002E-2</v>
      </c>
      <c r="F32" s="127">
        <v>0.11</v>
      </c>
      <c r="G32" s="133">
        <f>E32-((B13-1)*100)</f>
        <v>-8.3999999999993052E-2</v>
      </c>
      <c r="H32" s="133">
        <f>F32+C13</f>
        <v>0.78300000000000003</v>
      </c>
      <c r="I32" s="134">
        <f t="shared" ref="I32" si="11">1-(G32/100)</f>
        <v>1.00084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0.78300000000000003</v>
      </c>
      <c r="R32" s="148">
        <f>I32</f>
        <v>1.00084</v>
      </c>
    </row>
    <row r="33" spans="1:21" s="10" customFormat="1" ht="13.9" customHeight="1" thickTop="1" x14ac:dyDescent="0.25">
      <c r="A33" s="164">
        <v>45957</v>
      </c>
      <c r="B33" s="123" t="s">
        <v>147</v>
      </c>
      <c r="C33" s="145" t="str">
        <f>A6</f>
        <v>2:1/1%</v>
      </c>
      <c r="D33" s="145">
        <v>5</v>
      </c>
      <c r="E33" s="124">
        <v>-0.105</v>
      </c>
      <c r="F33" s="125">
        <v>5.15</v>
      </c>
      <c r="G33" s="135">
        <f>E33-((B6-1)*100)</f>
        <v>-0.19267000000000634</v>
      </c>
      <c r="H33" s="135">
        <f>F33+C6</f>
        <v>8.8170000000000002</v>
      </c>
      <c r="I33" s="136">
        <f>1-(G33/100)</f>
        <v>1.0019267000000001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8.8170000000000002</v>
      </c>
      <c r="N33" s="21">
        <f t="shared" si="1"/>
        <v>1.0019267000000001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147</v>
      </c>
      <c r="C34" s="142" t="str">
        <f>A7</f>
        <v>2:1/5%</v>
      </c>
      <c r="D34" s="142">
        <v>5</v>
      </c>
      <c r="E34" s="86">
        <v>-0.11700000000000001</v>
      </c>
      <c r="F34" s="64">
        <v>6.18</v>
      </c>
      <c r="G34" s="131">
        <f>E34-((B7-1)*100)</f>
        <v>-0.1816699999999889</v>
      </c>
      <c r="H34" s="131">
        <f>F34+C7</f>
        <v>7.8029999999999999</v>
      </c>
      <c r="I34" s="132">
        <f t="shared" ref="I34:I35" si="12">1-(G34/100)</f>
        <v>1.0018166999999998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7.8029999999999999</v>
      </c>
      <c r="P34" s="21">
        <f t="shared" si="3"/>
        <v>1.0018166999999998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147</v>
      </c>
      <c r="C35" s="142" t="str">
        <f>A9</f>
        <v>2:1/20%</v>
      </c>
      <c r="D35" s="142">
        <v>5</v>
      </c>
      <c r="E35" s="86">
        <v>-0.13400000000000001</v>
      </c>
      <c r="F35" s="64">
        <v>3.78</v>
      </c>
      <c r="G35" s="131">
        <f>E35-((B9-1)*100)</f>
        <v>-0.18500000000000105</v>
      </c>
      <c r="H35" s="131">
        <f>F35+C9</f>
        <v>4.6099999999999994</v>
      </c>
      <c r="I35" s="132">
        <f t="shared" si="12"/>
        <v>1.0018499999999999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4.6099999999999994</v>
      </c>
      <c r="R35" s="21">
        <f t="shared" si="10"/>
        <v>1.0018499999999999</v>
      </c>
    </row>
    <row r="36" spans="1:21" s="10" customFormat="1" ht="13.9" customHeight="1" x14ac:dyDescent="0.25">
      <c r="A36" s="161">
        <v>45957</v>
      </c>
      <c r="B36" s="160" t="s">
        <v>147</v>
      </c>
      <c r="C36" s="142" t="str">
        <f>A12</f>
        <v>2:1/100%</v>
      </c>
      <c r="D36" s="142">
        <v>5</v>
      </c>
      <c r="E36" s="86">
        <v>-8.5000000000000006E-2</v>
      </c>
      <c r="F36" s="64">
        <v>0.47</v>
      </c>
      <c r="G36" s="131">
        <f>E36-((B12-1)*100)</f>
        <v>-0.12700000000000872</v>
      </c>
      <c r="H36" s="131">
        <f>F36+C12</f>
        <v>1.1499999999999999</v>
      </c>
      <c r="I36" s="132">
        <f>1-(G36/100)</f>
        <v>1.0012700000000001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1.1499999999999999</v>
      </c>
      <c r="R36" s="21">
        <f t="shared" si="10"/>
        <v>1.0012700000000001</v>
      </c>
    </row>
    <row r="37" spans="1:21" s="10" customFormat="1" ht="13.9" customHeight="1" thickBot="1" x14ac:dyDescent="0.3">
      <c r="A37" s="165">
        <v>45957</v>
      </c>
      <c r="B37" s="166" t="s">
        <v>147</v>
      </c>
      <c r="C37" s="144" t="str">
        <f>A13</f>
        <v>2:1/120%</v>
      </c>
      <c r="D37" s="144">
        <v>5</v>
      </c>
      <c r="E37" s="126">
        <v>-7.4999999999999997E-2</v>
      </c>
      <c r="F37" s="127">
        <v>0.24</v>
      </c>
      <c r="G37" s="133">
        <f>E37-((B13-1)*100)</f>
        <v>-0.11799999999999304</v>
      </c>
      <c r="H37" s="133">
        <f>F37+C13</f>
        <v>0.91300000000000003</v>
      </c>
      <c r="I37" s="134">
        <f t="shared" ref="I37" si="13">1-(G37/100)</f>
        <v>1.00118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0.91300000000000003</v>
      </c>
      <c r="R37" s="148">
        <f>I37</f>
        <v>1.00118</v>
      </c>
    </row>
    <row r="38" spans="1:21" s="10" customFormat="1" ht="13.9" customHeight="1" thickTop="1" x14ac:dyDescent="0.25">
      <c r="A38" s="164">
        <v>45957</v>
      </c>
      <c r="B38" s="123" t="s">
        <v>148</v>
      </c>
      <c r="C38" s="145" t="str">
        <f>A6</f>
        <v>2:1/1%</v>
      </c>
      <c r="D38" s="145">
        <v>5</v>
      </c>
      <c r="E38" s="124">
        <v>-0.13100000000000001</v>
      </c>
      <c r="F38" s="125">
        <v>8.33</v>
      </c>
      <c r="G38" s="135">
        <f>E38-((B6-1)*100)</f>
        <v>-0.21867000000000636</v>
      </c>
      <c r="H38" s="135">
        <f>F38+C6</f>
        <v>11.997</v>
      </c>
      <c r="I38" s="136">
        <f>1-(G38/100)</f>
        <v>1.0021867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11.997</v>
      </c>
      <c r="N38" s="21">
        <f t="shared" si="1"/>
        <v>1.0021867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148</v>
      </c>
      <c r="C39" s="142" t="str">
        <f>A7</f>
        <v>2:1/5%</v>
      </c>
      <c r="D39" s="142">
        <v>5</v>
      </c>
      <c r="E39" s="86">
        <v>-0.13900000000000001</v>
      </c>
      <c r="F39" s="64">
        <v>7.91</v>
      </c>
      <c r="G39" s="131">
        <f>E39-((B7-1)*100)</f>
        <v>-0.20366999999998892</v>
      </c>
      <c r="H39" s="131">
        <f>F39+C7</f>
        <v>9.5329999999999995</v>
      </c>
      <c r="I39" s="132">
        <f t="shared" ref="I39:I40" si="14">1-(G39/100)</f>
        <v>1.0020366999999999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9.5329999999999995</v>
      </c>
      <c r="P39" s="21">
        <f t="shared" si="3"/>
        <v>1.0020366999999999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148</v>
      </c>
      <c r="C40" s="142" t="str">
        <f>A9</f>
        <v>2:1/20%</v>
      </c>
      <c r="D40" s="142">
        <v>5</v>
      </c>
      <c r="E40" s="86">
        <v>-0.156</v>
      </c>
      <c r="F40" s="64">
        <v>4.58</v>
      </c>
      <c r="G40" s="131">
        <f>E40-((B9-1)*100)</f>
        <v>-0.20700000000000104</v>
      </c>
      <c r="H40" s="131">
        <f>F40+C9</f>
        <v>5.41</v>
      </c>
      <c r="I40" s="132">
        <f t="shared" si="14"/>
        <v>1.00207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5.41</v>
      </c>
      <c r="R40" s="21">
        <f t="shared" si="10"/>
        <v>1.00207</v>
      </c>
    </row>
    <row r="41" spans="1:21" s="10" customFormat="1" ht="13.9" customHeight="1" x14ac:dyDescent="0.25">
      <c r="A41" s="161">
        <v>45957</v>
      </c>
      <c r="B41" s="160" t="s">
        <v>148</v>
      </c>
      <c r="C41" s="142" t="str">
        <f>A12</f>
        <v>2:1/100%</v>
      </c>
      <c r="D41" s="142">
        <v>5</v>
      </c>
      <c r="E41" s="86">
        <v>-0.1</v>
      </c>
      <c r="F41" s="64">
        <v>1.59</v>
      </c>
      <c r="G41" s="131">
        <f>E41-((B12-1)*100)</f>
        <v>-0.1420000000000087</v>
      </c>
      <c r="H41" s="131">
        <f>F41+C12</f>
        <v>2.27</v>
      </c>
      <c r="I41" s="132">
        <f>1-(G41/100)</f>
        <v>1.00142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2.27</v>
      </c>
      <c r="R41" s="21">
        <f t="shared" si="10"/>
        <v>1.00142</v>
      </c>
    </row>
    <row r="42" spans="1:21" s="10" customFormat="1" ht="13.9" customHeight="1" thickBot="1" x14ac:dyDescent="0.3">
      <c r="A42" s="162">
        <v>45957</v>
      </c>
      <c r="B42" s="163" t="s">
        <v>148</v>
      </c>
      <c r="C42" s="146" t="str">
        <f>A13</f>
        <v>2:1/120%</v>
      </c>
      <c r="D42" s="146">
        <v>5</v>
      </c>
      <c r="E42" s="87">
        <v>-0.11</v>
      </c>
      <c r="F42" s="85">
        <v>2.78</v>
      </c>
      <c r="G42" s="137">
        <f>E42-((B13-1)*100)</f>
        <v>-0.15299999999999303</v>
      </c>
      <c r="H42" s="137">
        <f>F42+C13</f>
        <v>3.4529999999999998</v>
      </c>
      <c r="I42" s="138">
        <f t="shared" ref="I42" si="16">1-(G42/100)</f>
        <v>1.00153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3.4529999999999998</v>
      </c>
      <c r="R42" s="148">
        <f>I42</f>
        <v>1.00153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3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49D0-5E96-4B45-BDA8-C069C40A197D}">
  <dimension ref="A1:U43"/>
  <sheetViews>
    <sheetView showGridLines="0" view="pageBreakPreview" topLeftCell="A9" zoomScale="90" zoomScaleNormal="115" zoomScaleSheetLayoutView="90" workbookViewId="0">
      <selection activeCell="E43" sqref="E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29.6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149</v>
      </c>
      <c r="C28" s="139" t="str">
        <f>A6</f>
        <v>2:1/1%</v>
      </c>
      <c r="D28" s="140">
        <v>5</v>
      </c>
      <c r="E28" s="96">
        <v>-4.1000000000000002E-2</v>
      </c>
      <c r="F28" s="97">
        <v>1.1100000000000001</v>
      </c>
      <c r="G28" s="129">
        <f>E28-((B6-1)*100)</f>
        <v>-0.12867000000000636</v>
      </c>
      <c r="H28" s="129">
        <f>F28+C6</f>
        <v>4.7770000000000001</v>
      </c>
      <c r="I28" s="130">
        <f>1-(G28/100)</f>
        <v>1.0012867000000001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4.7770000000000001</v>
      </c>
      <c r="N28" s="21">
        <f t="shared" ref="N28:N42" si="1">IFERROR(VLOOKUP($A$6,C28:I28,7,0),0)</f>
        <v>1.0012867000000001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149</v>
      </c>
      <c r="C29" s="141" t="str">
        <f t="shared" ref="C29" si="4">A7</f>
        <v>2:1/5%</v>
      </c>
      <c r="D29" s="142">
        <v>5</v>
      </c>
      <c r="E29" s="86">
        <v>-5.0999999999999997E-2</v>
      </c>
      <c r="F29" s="64">
        <v>2.62</v>
      </c>
      <c r="G29" s="131">
        <f t="shared" ref="G29" si="5">E29-((B7-1)*100)</f>
        <v>-0.11566999999998889</v>
      </c>
      <c r="H29" s="131">
        <f t="shared" ref="H29" si="6">F29+C7</f>
        <v>4.2430000000000003</v>
      </c>
      <c r="I29" s="132">
        <f t="shared" ref="I29:I30" si="7">1-(G29/100)</f>
        <v>1.0011566999999999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4.2430000000000003</v>
      </c>
      <c r="P29" s="21">
        <f t="shared" si="3"/>
        <v>1.0011566999999999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149</v>
      </c>
      <c r="C30" s="141" t="str">
        <f>A9</f>
        <v>2:1/20%</v>
      </c>
      <c r="D30" s="142">
        <v>5</v>
      </c>
      <c r="E30" s="86">
        <v>-6.7000000000000004E-2</v>
      </c>
      <c r="F30" s="64">
        <v>2.3199999999999998</v>
      </c>
      <c r="G30" s="131">
        <f>E30-((B9-1)*100)</f>
        <v>-0.11800000000000105</v>
      </c>
      <c r="H30" s="131">
        <f>F30+C9</f>
        <v>3.15</v>
      </c>
      <c r="I30" s="132">
        <f t="shared" si="7"/>
        <v>1.00118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3.15</v>
      </c>
      <c r="R30" s="21">
        <f>IFERROR(VLOOKUP($A$9,C30:I30,7,0),IFERROR(VLOOKUP($A$12,C30:I30,7,0),IFERROR(VLOOKUP($A$14,C30:I30,7,0),0)))</f>
        <v>1.00118</v>
      </c>
    </row>
    <row r="31" spans="1:21" s="10" customFormat="1" ht="13.9" customHeight="1" x14ac:dyDescent="0.25">
      <c r="A31" s="161">
        <v>45957</v>
      </c>
      <c r="B31" s="160" t="s">
        <v>149</v>
      </c>
      <c r="C31" s="141" t="str">
        <f>A12</f>
        <v>2:1/100%</v>
      </c>
      <c r="D31" s="142">
        <v>5</v>
      </c>
      <c r="E31" s="86">
        <v>-5.1999999999999998E-2</v>
      </c>
      <c r="F31" s="64">
        <v>0.45</v>
      </c>
      <c r="G31" s="131">
        <f>E31-((B12-1)*100)</f>
        <v>-9.4000000000008688E-2</v>
      </c>
      <c r="H31" s="131">
        <f>F31+C12</f>
        <v>1.1300000000000001</v>
      </c>
      <c r="I31" s="132">
        <f>1-(G31/100)</f>
        <v>1.0009400000000002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1.1300000000000001</v>
      </c>
      <c r="R31" s="21">
        <f t="shared" ref="R31:R41" si="10">IFERROR(VLOOKUP($A$9,C31:I31,7,0),IFERROR(VLOOKUP($A$12,C31:I31,7,0),IFERROR(VLOOKUP($A$14,C31:I31,7,0),0)))</f>
        <v>1.0009400000000002</v>
      </c>
    </row>
    <row r="32" spans="1:21" s="10" customFormat="1" ht="13.9" customHeight="1" thickBot="1" x14ac:dyDescent="0.3">
      <c r="A32" s="165">
        <v>45957</v>
      </c>
      <c r="B32" s="166" t="s">
        <v>149</v>
      </c>
      <c r="C32" s="143" t="str">
        <f>A13</f>
        <v>2:1/120%</v>
      </c>
      <c r="D32" s="144">
        <v>5</v>
      </c>
      <c r="E32" s="126">
        <v>-4.9000000000000002E-2</v>
      </c>
      <c r="F32" s="127">
        <v>0.38</v>
      </c>
      <c r="G32" s="133">
        <f>E32-((B13-1)*100)</f>
        <v>-9.1999999999993046E-2</v>
      </c>
      <c r="H32" s="133">
        <f>F32+C13</f>
        <v>1.0529999999999999</v>
      </c>
      <c r="I32" s="134">
        <f t="shared" ref="I32" si="11">1-(G32/100)</f>
        <v>1.00092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1.0529999999999999</v>
      </c>
      <c r="R32" s="148">
        <f>I32</f>
        <v>1.00092</v>
      </c>
    </row>
    <row r="33" spans="1:21" s="10" customFormat="1" ht="13.9" customHeight="1" thickTop="1" x14ac:dyDescent="0.25">
      <c r="A33" s="164">
        <v>45957</v>
      </c>
      <c r="B33" s="123" t="s">
        <v>150</v>
      </c>
      <c r="C33" s="145" t="str">
        <f>A6</f>
        <v>2:1/1%</v>
      </c>
      <c r="D33" s="145">
        <v>5</v>
      </c>
      <c r="E33" s="124">
        <v>-9.4E-2</v>
      </c>
      <c r="F33" s="125">
        <v>4.82</v>
      </c>
      <c r="G33" s="135">
        <f>E33-((B6-1)*100)</f>
        <v>-0.18167000000000635</v>
      </c>
      <c r="H33" s="135">
        <f>F33+C6</f>
        <v>8.4870000000000001</v>
      </c>
      <c r="I33" s="136">
        <f>1-(G33/100)</f>
        <v>1.0018167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8.4870000000000001</v>
      </c>
      <c r="N33" s="21">
        <f t="shared" si="1"/>
        <v>1.0018167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129</v>
      </c>
      <c r="C34" s="142" t="str">
        <f>A7</f>
        <v>2:1/5%</v>
      </c>
      <c r="D34" s="142">
        <v>5</v>
      </c>
      <c r="E34" s="86">
        <v>-0.106</v>
      </c>
      <c r="F34" s="64">
        <v>5.62</v>
      </c>
      <c r="G34" s="131">
        <f>E34-((B7-1)*100)</f>
        <v>-0.17066999999998889</v>
      </c>
      <c r="H34" s="131">
        <f>F34+C7</f>
        <v>7.2430000000000003</v>
      </c>
      <c r="I34" s="132">
        <f t="shared" ref="I34:I35" si="12">1-(G34/100)</f>
        <v>1.0017066999999999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7.2430000000000003</v>
      </c>
      <c r="P34" s="21">
        <f t="shared" si="3"/>
        <v>1.0017066999999999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150</v>
      </c>
      <c r="C35" s="142" t="str">
        <f>A9</f>
        <v>2:1/20%</v>
      </c>
      <c r="D35" s="142">
        <v>5</v>
      </c>
      <c r="E35" s="86">
        <v>-0.124</v>
      </c>
      <c r="F35" s="64">
        <v>3.42</v>
      </c>
      <c r="G35" s="131">
        <f>E35-((B9-1)*100)</f>
        <v>-0.17500000000000104</v>
      </c>
      <c r="H35" s="131">
        <f>F35+C9</f>
        <v>4.25</v>
      </c>
      <c r="I35" s="132">
        <f t="shared" si="12"/>
        <v>1.0017499999999999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4.25</v>
      </c>
      <c r="R35" s="21">
        <f t="shared" si="10"/>
        <v>1.0017499999999999</v>
      </c>
    </row>
    <row r="36" spans="1:21" s="10" customFormat="1" ht="13.9" customHeight="1" x14ac:dyDescent="0.25">
      <c r="A36" s="161">
        <v>45957</v>
      </c>
      <c r="B36" s="160" t="s">
        <v>150</v>
      </c>
      <c r="C36" s="142" t="str">
        <f>A12</f>
        <v>2:1/100%</v>
      </c>
      <c r="D36" s="142">
        <v>5</v>
      </c>
      <c r="E36" s="86">
        <v>-7.3999999999999996E-2</v>
      </c>
      <c r="F36" s="64">
        <v>0.43</v>
      </c>
      <c r="G36" s="131">
        <f>E36-((B12-1)*100)</f>
        <v>-0.11600000000000869</v>
      </c>
      <c r="H36" s="131">
        <f>F36+C12</f>
        <v>1.1100000000000001</v>
      </c>
      <c r="I36" s="132">
        <f>1-(G36/100)</f>
        <v>1.00116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1.1100000000000001</v>
      </c>
      <c r="R36" s="21">
        <f t="shared" si="10"/>
        <v>1.00116</v>
      </c>
    </row>
    <row r="37" spans="1:21" s="10" customFormat="1" ht="13.9" customHeight="1" thickBot="1" x14ac:dyDescent="0.3">
      <c r="A37" s="165">
        <v>45957</v>
      </c>
      <c r="B37" s="166" t="s">
        <v>150</v>
      </c>
      <c r="C37" s="144" t="str">
        <f>A13</f>
        <v>2:1/120%</v>
      </c>
      <c r="D37" s="144">
        <v>5</v>
      </c>
      <c r="E37" s="126">
        <v>-6.7000000000000004E-2</v>
      </c>
      <c r="F37" s="127">
        <v>0.19</v>
      </c>
      <c r="G37" s="133">
        <f>E37-((B13-1)*100)</f>
        <v>-0.10999999999999305</v>
      </c>
      <c r="H37" s="133">
        <f>F37+C13</f>
        <v>0.86299999999999999</v>
      </c>
      <c r="I37" s="134">
        <f t="shared" ref="I37" si="13">1-(G37/100)</f>
        <v>1.0010999999999999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0.86299999999999999</v>
      </c>
      <c r="R37" s="148">
        <f>I37</f>
        <v>1.0010999999999999</v>
      </c>
    </row>
    <row r="38" spans="1:21" s="10" customFormat="1" ht="13.9" customHeight="1" thickTop="1" x14ac:dyDescent="0.25">
      <c r="A38" s="164">
        <v>45957</v>
      </c>
      <c r="B38" s="123" t="s">
        <v>151</v>
      </c>
      <c r="C38" s="145" t="str">
        <f>A6</f>
        <v>2:1/1%</v>
      </c>
      <c r="D38" s="145">
        <v>5</v>
      </c>
      <c r="E38" s="124">
        <v>-0.11700000000000001</v>
      </c>
      <c r="F38" s="125">
        <v>7.39</v>
      </c>
      <c r="G38" s="135">
        <f>E38-((B6-1)*100)</f>
        <v>-0.20467000000000635</v>
      </c>
      <c r="H38" s="135">
        <f>F38+C6</f>
        <v>11.056999999999999</v>
      </c>
      <c r="I38" s="136">
        <f>1-(G38/100)</f>
        <v>1.0020467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11.056999999999999</v>
      </c>
      <c r="N38" s="21">
        <f t="shared" si="1"/>
        <v>1.0020467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151</v>
      </c>
      <c r="C39" s="142" t="str">
        <f>A7</f>
        <v>2:1/5%</v>
      </c>
      <c r="D39" s="142">
        <v>5</v>
      </c>
      <c r="E39" s="86">
        <v>-0.13100000000000001</v>
      </c>
      <c r="F39" s="64">
        <v>6.88</v>
      </c>
      <c r="G39" s="131">
        <f>E39-((B7-1)*100)</f>
        <v>-0.19566999999998891</v>
      </c>
      <c r="H39" s="131">
        <f>F39+C7</f>
        <v>8.5030000000000001</v>
      </c>
      <c r="I39" s="132">
        <f t="shared" ref="I39:I40" si="14">1-(G39/100)</f>
        <v>1.0019566999999998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8.5030000000000001</v>
      </c>
      <c r="P39" s="21">
        <f t="shared" si="3"/>
        <v>1.0019566999999998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151</v>
      </c>
      <c r="C40" s="142" t="str">
        <f>A9</f>
        <v>2:1/20%</v>
      </c>
      <c r="D40" s="142">
        <v>5</v>
      </c>
      <c r="E40" s="86">
        <v>-0.14399999999999999</v>
      </c>
      <c r="F40" s="64">
        <v>3.33</v>
      </c>
      <c r="G40" s="131">
        <f>E40-((B9-1)*100)</f>
        <v>-0.19500000000000103</v>
      </c>
      <c r="H40" s="131">
        <f>F40+C9</f>
        <v>4.16</v>
      </c>
      <c r="I40" s="132">
        <f t="shared" si="14"/>
        <v>1.0019500000000001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4.16</v>
      </c>
      <c r="R40" s="21">
        <f t="shared" si="10"/>
        <v>1.0019500000000001</v>
      </c>
    </row>
    <row r="41" spans="1:21" s="10" customFormat="1" ht="13.9" customHeight="1" x14ac:dyDescent="0.25">
      <c r="A41" s="161">
        <v>45957</v>
      </c>
      <c r="B41" s="160" t="s">
        <v>151</v>
      </c>
      <c r="C41" s="142" t="str">
        <f>A12</f>
        <v>2:1/100%</v>
      </c>
      <c r="D41" s="142">
        <v>5</v>
      </c>
      <c r="E41" s="86">
        <v>-8.6999999999999994E-2</v>
      </c>
      <c r="F41" s="64">
        <v>1.26</v>
      </c>
      <c r="G41" s="131">
        <f>E41-((B12-1)*100)</f>
        <v>-0.12900000000000869</v>
      </c>
      <c r="H41" s="131">
        <f>F41+C12</f>
        <v>1.94</v>
      </c>
      <c r="I41" s="132">
        <f>1-(G41/100)</f>
        <v>1.00129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1.94</v>
      </c>
      <c r="R41" s="21">
        <f t="shared" si="10"/>
        <v>1.00129</v>
      </c>
    </row>
    <row r="42" spans="1:21" s="10" customFormat="1" ht="13.9" customHeight="1" thickBot="1" x14ac:dyDescent="0.3">
      <c r="A42" s="162">
        <v>45957</v>
      </c>
      <c r="B42" s="163" t="s">
        <v>151</v>
      </c>
      <c r="C42" s="146" t="str">
        <f>A13</f>
        <v>2:1/120%</v>
      </c>
      <c r="D42" s="146">
        <v>5</v>
      </c>
      <c r="E42" s="87">
        <v>-0.114</v>
      </c>
      <c r="F42" s="85">
        <v>3.51</v>
      </c>
      <c r="G42" s="137">
        <f>E42-((B13-1)*100)</f>
        <v>-0.15699999999999303</v>
      </c>
      <c r="H42" s="137">
        <f>F42+C13</f>
        <v>4.1829999999999998</v>
      </c>
      <c r="I42" s="138">
        <f t="shared" ref="I42" si="16">1-(G42/100)</f>
        <v>1.0015699999999998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4.1829999999999998</v>
      </c>
      <c r="R42" s="148">
        <f>I42</f>
        <v>1.0015699999999998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2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72F4-0212-4616-B4EB-1F325CF10DB7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29.8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152</v>
      </c>
      <c r="C28" s="139" t="str">
        <f>A6</f>
        <v>2:1/1%</v>
      </c>
      <c r="D28" s="140">
        <v>5</v>
      </c>
      <c r="E28" s="96">
        <v>-2.9000000000000001E-2</v>
      </c>
      <c r="F28" s="97">
        <v>0.37</v>
      </c>
      <c r="G28" s="129">
        <f>E28-((B6-1)*100)</f>
        <v>-0.11667000000000635</v>
      </c>
      <c r="H28" s="129">
        <f>F28+C6</f>
        <v>4.0369999999999999</v>
      </c>
      <c r="I28" s="130">
        <f>1-(G28/100)</f>
        <v>1.0011667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4.0369999999999999</v>
      </c>
      <c r="N28" s="21">
        <f t="shared" ref="N28:N42" si="1">IFERROR(VLOOKUP($A$6,C28:I28,7,0),0)</f>
        <v>1.0011667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152</v>
      </c>
      <c r="C29" s="141" t="str">
        <f t="shared" ref="C29" si="4">A7</f>
        <v>2:1/5%</v>
      </c>
      <c r="D29" s="142">
        <v>5</v>
      </c>
      <c r="E29" s="86">
        <v>-4.4999999999999998E-2</v>
      </c>
      <c r="F29" s="64">
        <v>2.04</v>
      </c>
      <c r="G29" s="131">
        <f t="shared" ref="G29" si="5">E29-((B7-1)*100)</f>
        <v>-0.1096699999999889</v>
      </c>
      <c r="H29" s="131">
        <f t="shared" ref="H29" si="6">F29+C7</f>
        <v>3.6630000000000003</v>
      </c>
      <c r="I29" s="132">
        <f t="shared" ref="I29:I30" si="7">1-(G29/100)</f>
        <v>1.0010967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3.6630000000000003</v>
      </c>
      <c r="P29" s="21">
        <f t="shared" si="3"/>
        <v>1.0010967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152</v>
      </c>
      <c r="C30" s="141" t="str">
        <f>A9</f>
        <v>2:1/20%</v>
      </c>
      <c r="D30" s="142">
        <v>5</v>
      </c>
      <c r="E30" s="86">
        <v>-6.2E-2</v>
      </c>
      <c r="F30" s="64">
        <v>1.74</v>
      </c>
      <c r="G30" s="131">
        <f>E30-((B9-1)*100)</f>
        <v>-0.11300000000000104</v>
      </c>
      <c r="H30" s="131">
        <f>F30+C9</f>
        <v>2.57</v>
      </c>
      <c r="I30" s="132">
        <f t="shared" si="7"/>
        <v>1.0011300000000001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2.57</v>
      </c>
      <c r="R30" s="21">
        <f>IFERROR(VLOOKUP($A$9,C30:I30,7,0),IFERROR(VLOOKUP($A$12,C30:I30,7,0),IFERROR(VLOOKUP($A$14,C30:I30,7,0),0)))</f>
        <v>1.0011300000000001</v>
      </c>
    </row>
    <row r="31" spans="1:21" s="10" customFormat="1" ht="13.9" customHeight="1" x14ac:dyDescent="0.25">
      <c r="A31" s="161">
        <v>45957</v>
      </c>
      <c r="B31" s="160" t="s">
        <v>152</v>
      </c>
      <c r="C31" s="141" t="str">
        <f>A12</f>
        <v>2:1/100%</v>
      </c>
      <c r="D31" s="142">
        <v>5</v>
      </c>
      <c r="E31" s="86">
        <v>-0.04</v>
      </c>
      <c r="F31" s="64">
        <v>0.23</v>
      </c>
      <c r="G31" s="131">
        <f>E31-((B12-1)*100)</f>
        <v>-8.2000000000008705E-2</v>
      </c>
      <c r="H31" s="131">
        <f>F31+C12</f>
        <v>0.91</v>
      </c>
      <c r="I31" s="132">
        <f>1-(G31/100)</f>
        <v>1.00082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0.91</v>
      </c>
      <c r="R31" s="21">
        <f t="shared" ref="R31:R41" si="10">IFERROR(VLOOKUP($A$9,C31:I31,7,0),IFERROR(VLOOKUP($A$12,C31:I31,7,0),IFERROR(VLOOKUP($A$14,C31:I31,7,0),0)))</f>
        <v>1.00082</v>
      </c>
    </row>
    <row r="32" spans="1:21" s="10" customFormat="1" ht="13.9" customHeight="1" thickBot="1" x14ac:dyDescent="0.3">
      <c r="A32" s="165">
        <v>45957</v>
      </c>
      <c r="B32" s="166" t="s">
        <v>152</v>
      </c>
      <c r="C32" s="143" t="str">
        <f>A13</f>
        <v>2:1/120%</v>
      </c>
      <c r="D32" s="144">
        <v>5</v>
      </c>
      <c r="E32" s="126">
        <v>-3.6999999999999998E-2</v>
      </c>
      <c r="F32" s="127">
        <v>0.12</v>
      </c>
      <c r="G32" s="133">
        <f>E32-((B13-1)*100)</f>
        <v>-7.9999999999993049E-2</v>
      </c>
      <c r="H32" s="133">
        <f>F32+C13</f>
        <v>0.79300000000000004</v>
      </c>
      <c r="I32" s="134">
        <f t="shared" ref="I32" si="11">1-(G32/100)</f>
        <v>1.0007999999999999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0.79300000000000004</v>
      </c>
      <c r="R32" s="148">
        <f>I32</f>
        <v>1.0007999999999999</v>
      </c>
    </row>
    <row r="33" spans="1:21" s="10" customFormat="1" ht="13.9" customHeight="1" thickTop="1" x14ac:dyDescent="0.25">
      <c r="A33" s="164">
        <v>45957</v>
      </c>
      <c r="B33" s="123" t="s">
        <v>153</v>
      </c>
      <c r="C33" s="145" t="str">
        <f>A6</f>
        <v>2:1/1%</v>
      </c>
      <c r="D33" s="145">
        <v>5</v>
      </c>
      <c r="E33" s="124">
        <v>-0.13</v>
      </c>
      <c r="F33" s="125">
        <v>6.95</v>
      </c>
      <c r="G33" s="135">
        <f>E33-((B6-1)*100)</f>
        <v>-0.21767000000000636</v>
      </c>
      <c r="H33" s="135">
        <f>F33+C6</f>
        <v>10.617000000000001</v>
      </c>
      <c r="I33" s="136">
        <f>1-(G33/100)</f>
        <v>1.0021767000000001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10.617000000000001</v>
      </c>
      <c r="N33" s="21">
        <f t="shared" si="1"/>
        <v>1.0021767000000001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153</v>
      </c>
      <c r="C34" s="142" t="str">
        <f>A7</f>
        <v>2:1/5%</v>
      </c>
      <c r="D34" s="142">
        <v>5</v>
      </c>
      <c r="E34" s="86">
        <v>-0.151</v>
      </c>
      <c r="F34" s="64">
        <v>6.82</v>
      </c>
      <c r="G34" s="131">
        <f>E34-((B7-1)*100)</f>
        <v>-0.2156699999999889</v>
      </c>
      <c r="H34" s="131">
        <f>F34+C7</f>
        <v>8.4429999999999996</v>
      </c>
      <c r="I34" s="132">
        <f t="shared" ref="I34:I35" si="12">1-(G34/100)</f>
        <v>1.0021566999999998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8.4429999999999996</v>
      </c>
      <c r="P34" s="21">
        <f t="shared" si="3"/>
        <v>1.0021566999999998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153</v>
      </c>
      <c r="C35" s="142" t="str">
        <f>A9</f>
        <v>2:1/20%</v>
      </c>
      <c r="D35" s="142">
        <v>5</v>
      </c>
      <c r="E35" s="86">
        <v>-0.157</v>
      </c>
      <c r="F35" s="64">
        <v>3.16</v>
      </c>
      <c r="G35" s="131">
        <f>E35-((B9-1)*100)</f>
        <v>-0.20800000000000105</v>
      </c>
      <c r="H35" s="131">
        <f>F35+C9</f>
        <v>3.99</v>
      </c>
      <c r="I35" s="132">
        <f t="shared" si="12"/>
        <v>1.0020800000000001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3.99</v>
      </c>
      <c r="R35" s="21">
        <f t="shared" si="10"/>
        <v>1.0020800000000001</v>
      </c>
    </row>
    <row r="36" spans="1:21" s="10" customFormat="1" ht="13.9" customHeight="1" x14ac:dyDescent="0.25">
      <c r="A36" s="161">
        <v>45957</v>
      </c>
      <c r="B36" s="160" t="s">
        <v>153</v>
      </c>
      <c r="C36" s="142" t="str">
        <f>A12</f>
        <v>2:1/100%</v>
      </c>
      <c r="D36" s="142">
        <v>5</v>
      </c>
      <c r="E36" s="86">
        <v>-8.8999999999999996E-2</v>
      </c>
      <c r="F36" s="64">
        <v>0.49</v>
      </c>
      <c r="G36" s="131">
        <f>E36-((B12-1)*100)</f>
        <v>-0.13100000000000869</v>
      </c>
      <c r="H36" s="131">
        <f>F36+C12</f>
        <v>1.17</v>
      </c>
      <c r="I36" s="132">
        <f>1-(G36/100)</f>
        <v>1.0013100000000001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1.17</v>
      </c>
      <c r="R36" s="21">
        <f t="shared" si="10"/>
        <v>1.0013100000000001</v>
      </c>
    </row>
    <row r="37" spans="1:21" s="10" customFormat="1" ht="13.9" customHeight="1" thickBot="1" x14ac:dyDescent="0.3">
      <c r="A37" s="165">
        <v>45957</v>
      </c>
      <c r="B37" s="166" t="s">
        <v>153</v>
      </c>
      <c r="C37" s="144" t="str">
        <f>A13</f>
        <v>2:1/120%</v>
      </c>
      <c r="D37" s="144">
        <v>5</v>
      </c>
      <c r="E37" s="126">
        <v>-8.2000000000000003E-2</v>
      </c>
      <c r="F37" s="127">
        <v>0.32</v>
      </c>
      <c r="G37" s="133">
        <f>E37-((B13-1)*100)</f>
        <v>-0.12499999999999305</v>
      </c>
      <c r="H37" s="133">
        <f>F37+C13</f>
        <v>0.9930000000000001</v>
      </c>
      <c r="I37" s="134">
        <f t="shared" ref="I37" si="13">1-(G37/100)</f>
        <v>1.00125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0.9930000000000001</v>
      </c>
      <c r="R37" s="148">
        <f>I37</f>
        <v>1.00125</v>
      </c>
    </row>
    <row r="38" spans="1:21" s="10" customFormat="1" ht="13.9" customHeight="1" thickTop="1" x14ac:dyDescent="0.25">
      <c r="A38" s="164">
        <v>45957</v>
      </c>
      <c r="B38" s="123" t="s">
        <v>154</v>
      </c>
      <c r="C38" s="145" t="str">
        <f>A6</f>
        <v>2:1/1%</v>
      </c>
      <c r="D38" s="145">
        <v>5</v>
      </c>
      <c r="E38" s="124">
        <v>-0.108</v>
      </c>
      <c r="F38" s="125">
        <v>6.62</v>
      </c>
      <c r="G38" s="135">
        <f>E38-((B6-1)*100)</f>
        <v>-0.19567000000000634</v>
      </c>
      <c r="H38" s="135">
        <f>F38+C6</f>
        <v>10.286999999999999</v>
      </c>
      <c r="I38" s="136">
        <f>1-(G38/100)</f>
        <v>1.0019567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10.286999999999999</v>
      </c>
      <c r="N38" s="21">
        <f t="shared" si="1"/>
        <v>1.0019567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154</v>
      </c>
      <c r="C39" s="142" t="str">
        <f>A7</f>
        <v>2:1/5%</v>
      </c>
      <c r="D39" s="142">
        <v>5</v>
      </c>
      <c r="E39" s="86">
        <v>-0.111</v>
      </c>
      <c r="F39" s="64">
        <v>6.84</v>
      </c>
      <c r="G39" s="131">
        <f>E39-((B7-1)*100)</f>
        <v>-0.17566999999998889</v>
      </c>
      <c r="H39" s="131">
        <f>F39+C7</f>
        <v>8.4629999999999992</v>
      </c>
      <c r="I39" s="132">
        <f t="shared" ref="I39:I40" si="14">1-(G39/100)</f>
        <v>1.0017566999999998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8.4629999999999992</v>
      </c>
      <c r="P39" s="21">
        <f t="shared" si="3"/>
        <v>1.0017566999999998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154</v>
      </c>
      <c r="C40" s="142" t="str">
        <f>A9</f>
        <v>2:1/20%</v>
      </c>
      <c r="D40" s="142">
        <v>5</v>
      </c>
      <c r="E40" s="86">
        <v>-0.13800000000000001</v>
      </c>
      <c r="F40" s="64">
        <v>4.46</v>
      </c>
      <c r="G40" s="131">
        <f>E40-((B9-1)*100)</f>
        <v>-0.18900000000000106</v>
      </c>
      <c r="H40" s="131">
        <f>F40+C9</f>
        <v>5.29</v>
      </c>
      <c r="I40" s="132">
        <f t="shared" si="14"/>
        <v>1.0018899999999999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5.29</v>
      </c>
      <c r="R40" s="21">
        <f t="shared" si="10"/>
        <v>1.0018899999999999</v>
      </c>
    </row>
    <row r="41" spans="1:21" s="10" customFormat="1" ht="13.9" customHeight="1" x14ac:dyDescent="0.25">
      <c r="A41" s="161">
        <v>45957</v>
      </c>
      <c r="B41" s="160" t="s">
        <v>154</v>
      </c>
      <c r="C41" s="142" t="str">
        <f>A12</f>
        <v>2:1/100%</v>
      </c>
      <c r="D41" s="142">
        <v>5</v>
      </c>
      <c r="E41" s="86">
        <v>-0.10299999999999999</v>
      </c>
      <c r="F41" s="64">
        <v>2.13</v>
      </c>
      <c r="G41" s="131">
        <f>E41-((B12-1)*100)</f>
        <v>-0.14500000000000868</v>
      </c>
      <c r="H41" s="131">
        <f>F41+C12</f>
        <v>2.81</v>
      </c>
      <c r="I41" s="132">
        <f>1-(G41/100)</f>
        <v>1.0014500000000002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2.81</v>
      </c>
      <c r="R41" s="21">
        <f t="shared" si="10"/>
        <v>1.0014500000000002</v>
      </c>
    </row>
    <row r="42" spans="1:21" s="10" customFormat="1" ht="13.9" customHeight="1" thickBot="1" x14ac:dyDescent="0.3">
      <c r="A42" s="162">
        <v>45957</v>
      </c>
      <c r="B42" s="163" t="s">
        <v>154</v>
      </c>
      <c r="C42" s="146" t="str">
        <f>A13</f>
        <v>2:1/120%</v>
      </c>
      <c r="D42" s="146">
        <v>5</v>
      </c>
      <c r="E42" s="87">
        <v>-0.108</v>
      </c>
      <c r="F42" s="85">
        <v>2.69</v>
      </c>
      <c r="G42" s="137">
        <f>E42-((B13-1)*100)</f>
        <v>-0.15099999999999303</v>
      </c>
      <c r="H42" s="137">
        <f>F42+C13</f>
        <v>3.363</v>
      </c>
      <c r="I42" s="138">
        <f t="shared" ref="I42" si="16">1-(G42/100)</f>
        <v>1.0015099999999999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3.363</v>
      </c>
      <c r="R42" s="148">
        <f>I42</f>
        <v>1.0015099999999999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1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7641-4BBC-44CE-8F77-0E5705278DD8}">
  <sheetPr>
    <tabColor theme="0"/>
  </sheetPr>
  <dimension ref="A1:U43"/>
  <sheetViews>
    <sheetView showGridLines="0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25.7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35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45967</v>
      </c>
      <c r="B28" s="159" t="s">
        <v>155</v>
      </c>
      <c r="C28" s="139" t="str">
        <f>A6</f>
        <v>2:1/1%</v>
      </c>
      <c r="D28" s="140">
        <v>5</v>
      </c>
      <c r="E28" s="96">
        <v>-7.4999999999999997E-2</v>
      </c>
      <c r="F28" s="97">
        <v>3.36</v>
      </c>
      <c r="G28" s="129">
        <f>E28-((B6-1)*100)</f>
        <v>-0.16267000000000637</v>
      </c>
      <c r="H28" s="129">
        <f>F28+C6</f>
        <v>7.0269999999999992</v>
      </c>
      <c r="I28" s="130">
        <f>1-(G28/100)</f>
        <v>1.0016267000000001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7.0269999999999992</v>
      </c>
      <c r="N28" s="21">
        <f t="shared" ref="N28:N42" si="1">IFERROR(VLOOKUP($A$6,C28:I28,7,0),0)</f>
        <v>1.0016267000000001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45967</v>
      </c>
      <c r="B29" s="160" t="s">
        <v>155</v>
      </c>
      <c r="C29" s="141" t="str">
        <f t="shared" ref="C29" si="4">A7</f>
        <v>2:1/5%</v>
      </c>
      <c r="D29" s="142">
        <v>5</v>
      </c>
      <c r="E29" s="86">
        <v>-7.0000000000000007E-2</v>
      </c>
      <c r="F29" s="64">
        <v>3.2</v>
      </c>
      <c r="G29" s="131">
        <f t="shared" ref="G29" si="5">E29-((B7-1)*100)</f>
        <v>-0.13466999999998891</v>
      </c>
      <c r="H29" s="131">
        <f t="shared" ref="H29" si="6">F29+C7</f>
        <v>4.8230000000000004</v>
      </c>
      <c r="I29" s="132">
        <f t="shared" ref="I29:I30" si="7">1-(G29/100)</f>
        <v>1.0013466999999998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4.8230000000000004</v>
      </c>
      <c r="P29" s="21">
        <f t="shared" si="3"/>
        <v>1.0013466999999998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45967</v>
      </c>
      <c r="B30" s="160" t="s">
        <v>155</v>
      </c>
      <c r="C30" s="141" t="str">
        <f>A9</f>
        <v>2:1/20%</v>
      </c>
      <c r="D30" s="142">
        <v>5</v>
      </c>
      <c r="E30" s="86">
        <v>-8.5000000000000006E-2</v>
      </c>
      <c r="F30" s="64">
        <v>2.0499999999999998</v>
      </c>
      <c r="G30" s="131">
        <f>E30-((B9-1)*100)</f>
        <v>-0.13600000000000106</v>
      </c>
      <c r="H30" s="131">
        <f>F30+C9</f>
        <v>2.88</v>
      </c>
      <c r="I30" s="132">
        <f t="shared" si="7"/>
        <v>1.00136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2.88</v>
      </c>
      <c r="R30" s="21">
        <f>IFERROR(VLOOKUP($A$9,C30:I30,7,0),IFERROR(VLOOKUP($A$12,C30:I30,7,0),IFERROR(VLOOKUP($A$14,C30:I30,7,0),0)))</f>
        <v>1.00136</v>
      </c>
    </row>
    <row r="31" spans="1:21" s="10" customFormat="1" ht="13.9" customHeight="1" x14ac:dyDescent="0.25">
      <c r="A31" s="161">
        <v>45967</v>
      </c>
      <c r="B31" s="160" t="s">
        <v>155</v>
      </c>
      <c r="C31" s="141" t="str">
        <f>A12</f>
        <v>2:1/100%</v>
      </c>
      <c r="D31" s="142">
        <v>5</v>
      </c>
      <c r="E31" s="86">
        <v>-4.7E-2</v>
      </c>
      <c r="F31" s="64">
        <v>0.22</v>
      </c>
      <c r="G31" s="131">
        <f>E31-((B12-1)*100)</f>
        <v>-8.9000000000008697E-2</v>
      </c>
      <c r="H31" s="131">
        <f>F31+C12</f>
        <v>0.9</v>
      </c>
      <c r="I31" s="132">
        <f>1-(G31/100)</f>
        <v>1.0008900000000001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0.9</v>
      </c>
      <c r="R31" s="21">
        <f t="shared" ref="R31:R41" si="10">IFERROR(VLOOKUP($A$9,C31:I31,7,0),IFERROR(VLOOKUP($A$12,C31:I31,7,0),IFERROR(VLOOKUP($A$14,C31:I31,7,0),0)))</f>
        <v>1.0008900000000001</v>
      </c>
    </row>
    <row r="32" spans="1:21" s="10" customFormat="1" ht="13.9" customHeight="1" thickBot="1" x14ac:dyDescent="0.3">
      <c r="A32" s="165">
        <v>45967</v>
      </c>
      <c r="B32" s="166" t="s">
        <v>155</v>
      </c>
      <c r="C32" s="143" t="str">
        <f>A13</f>
        <v>2:1/120%</v>
      </c>
      <c r="D32" s="144">
        <v>5</v>
      </c>
      <c r="E32" s="126">
        <v>-4.2999999999999997E-2</v>
      </c>
      <c r="F32" s="127">
        <v>0.14000000000000001</v>
      </c>
      <c r="G32" s="133">
        <f>E32-((B13-1)*100)</f>
        <v>-8.599999999999304E-2</v>
      </c>
      <c r="H32" s="133">
        <f>F32+C13</f>
        <v>0.81300000000000006</v>
      </c>
      <c r="I32" s="134">
        <f t="shared" ref="I32" si="11">1-(G32/100)</f>
        <v>1.0008599999999999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0.81300000000000006</v>
      </c>
      <c r="R32" s="148">
        <f>I32</f>
        <v>1.0008599999999999</v>
      </c>
    </row>
    <row r="33" spans="1:21" s="10" customFormat="1" ht="13.9" customHeight="1" thickTop="1" x14ac:dyDescent="0.25">
      <c r="A33" s="164">
        <v>45967</v>
      </c>
      <c r="B33" s="123" t="s">
        <v>156</v>
      </c>
      <c r="C33" s="145" t="str">
        <f>A6</f>
        <v>2:1/1%</v>
      </c>
      <c r="D33" s="145">
        <v>5</v>
      </c>
      <c r="E33" s="124">
        <v>-7.6999999999999999E-2</v>
      </c>
      <c r="F33" s="125">
        <v>2.75</v>
      </c>
      <c r="G33" s="135">
        <f>E33-((B6-1)*100)</f>
        <v>-0.16467000000000637</v>
      </c>
      <c r="H33" s="135">
        <f>F33+C6</f>
        <v>6.4169999999999998</v>
      </c>
      <c r="I33" s="136">
        <f>1-(G33/100)</f>
        <v>1.0016467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6.4169999999999998</v>
      </c>
      <c r="N33" s="21">
        <f t="shared" si="1"/>
        <v>1.0016467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45967</v>
      </c>
      <c r="B34" s="160" t="s">
        <v>156</v>
      </c>
      <c r="C34" s="142" t="str">
        <f>A7</f>
        <v>2:1/5%</v>
      </c>
      <c r="D34" s="142">
        <v>5</v>
      </c>
      <c r="E34" s="86">
        <v>-8.6999999999999994E-2</v>
      </c>
      <c r="F34" s="64">
        <v>3.86</v>
      </c>
      <c r="G34" s="131">
        <f>E34-((B7-1)*100)</f>
        <v>-0.1516699999999889</v>
      </c>
      <c r="H34" s="131">
        <f>F34+C7</f>
        <v>5.4829999999999997</v>
      </c>
      <c r="I34" s="132">
        <f t="shared" ref="I34:I35" si="12">1-(G34/100)</f>
        <v>1.0015166999999998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5.4829999999999997</v>
      </c>
      <c r="P34" s="21">
        <f t="shared" si="3"/>
        <v>1.0015166999999998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45967</v>
      </c>
      <c r="B35" s="160" t="s">
        <v>156</v>
      </c>
      <c r="C35" s="142" t="str">
        <f>A9</f>
        <v>2:1/20%</v>
      </c>
      <c r="D35" s="142">
        <v>5</v>
      </c>
      <c r="E35" s="86">
        <v>-9.9000000000000005E-2</v>
      </c>
      <c r="F35" s="64">
        <v>2.46</v>
      </c>
      <c r="G35" s="131">
        <f>E35-((B9-1)*100)</f>
        <v>-0.15000000000000105</v>
      </c>
      <c r="H35" s="131">
        <f>F35+C9</f>
        <v>3.29</v>
      </c>
      <c r="I35" s="132">
        <f t="shared" si="12"/>
        <v>1.0015000000000001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3.29</v>
      </c>
      <c r="R35" s="21">
        <f t="shared" si="10"/>
        <v>1.0015000000000001</v>
      </c>
    </row>
    <row r="36" spans="1:21" s="10" customFormat="1" ht="13.9" customHeight="1" x14ac:dyDescent="0.25">
      <c r="A36" s="161">
        <v>45967</v>
      </c>
      <c r="B36" s="160" t="s">
        <v>156</v>
      </c>
      <c r="C36" s="142" t="str">
        <f>A12</f>
        <v>2:1/100%</v>
      </c>
      <c r="D36" s="142">
        <v>5</v>
      </c>
      <c r="E36" s="86">
        <v>-6.4000000000000001E-2</v>
      </c>
      <c r="F36" s="64">
        <v>0.31</v>
      </c>
      <c r="G36" s="131">
        <f>E36-((B12-1)*100)</f>
        <v>-0.1060000000000087</v>
      </c>
      <c r="H36" s="131">
        <f>F36+C12</f>
        <v>0.99</v>
      </c>
      <c r="I36" s="132">
        <f>1-(G36/100)</f>
        <v>1.0010600000000001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0.99</v>
      </c>
      <c r="R36" s="21">
        <f t="shared" si="10"/>
        <v>1.0010600000000001</v>
      </c>
    </row>
    <row r="37" spans="1:21" s="10" customFormat="1" ht="13.9" customHeight="1" thickBot="1" x14ac:dyDescent="0.3">
      <c r="A37" s="165">
        <v>45967</v>
      </c>
      <c r="B37" s="166" t="s">
        <v>156</v>
      </c>
      <c r="C37" s="144" t="str">
        <f>A13</f>
        <v>2:1/120%</v>
      </c>
      <c r="D37" s="144">
        <v>5</v>
      </c>
      <c r="E37" s="126">
        <v>-5.8000000000000003E-2</v>
      </c>
      <c r="F37" s="127">
        <v>0.22</v>
      </c>
      <c r="G37" s="133">
        <f>E37-((B13-1)*100)</f>
        <v>-0.10099999999999304</v>
      </c>
      <c r="H37" s="133">
        <f>F37+C13</f>
        <v>0.89300000000000002</v>
      </c>
      <c r="I37" s="134">
        <f t="shared" ref="I37" si="13">1-(G37/100)</f>
        <v>1.00101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0.89300000000000002</v>
      </c>
      <c r="R37" s="148">
        <f>I37</f>
        <v>1.00101</v>
      </c>
    </row>
    <row r="38" spans="1:21" s="10" customFormat="1" ht="13.9" customHeight="1" thickTop="1" x14ac:dyDescent="0.25">
      <c r="A38" s="164">
        <v>45967</v>
      </c>
      <c r="B38" s="123" t="s">
        <v>157</v>
      </c>
      <c r="C38" s="145" t="str">
        <f>A6</f>
        <v>2:1/1%</v>
      </c>
      <c r="D38" s="145">
        <v>5</v>
      </c>
      <c r="E38" s="124">
        <v>-7.2999999999999995E-2</v>
      </c>
      <c r="F38" s="125">
        <v>4.5999999999999996</v>
      </c>
      <c r="G38" s="135">
        <f>E38-((B6-1)*100)</f>
        <v>-0.16067000000000636</v>
      </c>
      <c r="H38" s="135">
        <f>F38+C6</f>
        <v>8.2669999999999995</v>
      </c>
      <c r="I38" s="136">
        <f>1-(G38/100)</f>
        <v>1.0016067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8.2669999999999995</v>
      </c>
      <c r="N38" s="21">
        <f t="shared" si="1"/>
        <v>1.0016067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45967</v>
      </c>
      <c r="B39" s="160" t="s">
        <v>157</v>
      </c>
      <c r="C39" s="142" t="str">
        <f>A7</f>
        <v>2:1/5%</v>
      </c>
      <c r="D39" s="142">
        <v>5</v>
      </c>
      <c r="E39" s="86">
        <v>-8.5999999999999993E-2</v>
      </c>
      <c r="F39" s="64">
        <v>4.74</v>
      </c>
      <c r="G39" s="131">
        <f>E39-((B7-1)*100)</f>
        <v>-0.1506699999999889</v>
      </c>
      <c r="H39" s="131">
        <f>F39+C7</f>
        <v>6.3630000000000004</v>
      </c>
      <c r="I39" s="132">
        <f t="shared" ref="I39:I40" si="14">1-(G39/100)</f>
        <v>1.0015067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6.3630000000000004</v>
      </c>
      <c r="P39" s="21">
        <f t="shared" si="3"/>
        <v>1.0015067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45967</v>
      </c>
      <c r="B40" s="160" t="s">
        <v>157</v>
      </c>
      <c r="C40" s="142" t="str">
        <f>A9</f>
        <v>2:1/20%</v>
      </c>
      <c r="D40" s="142">
        <v>5</v>
      </c>
      <c r="E40" s="86">
        <v>-9.8000000000000004E-2</v>
      </c>
      <c r="F40" s="64">
        <v>2.85</v>
      </c>
      <c r="G40" s="131">
        <f>E40-((B9-1)*100)</f>
        <v>-0.14900000000000105</v>
      </c>
      <c r="H40" s="131">
        <f>F40+C9</f>
        <v>3.68</v>
      </c>
      <c r="I40" s="132">
        <f t="shared" si="14"/>
        <v>1.00149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3.68</v>
      </c>
      <c r="R40" s="21">
        <f t="shared" si="10"/>
        <v>1.00149</v>
      </c>
    </row>
    <row r="41" spans="1:21" s="10" customFormat="1" ht="13.9" customHeight="1" x14ac:dyDescent="0.25">
      <c r="A41" s="161">
        <v>45967</v>
      </c>
      <c r="B41" s="160" t="s">
        <v>157</v>
      </c>
      <c r="C41" s="142" t="str">
        <f>A12</f>
        <v>2:1/100%</v>
      </c>
      <c r="D41" s="142">
        <v>5</v>
      </c>
      <c r="E41" s="86">
        <v>-4.9000000000000002E-2</v>
      </c>
      <c r="F41" s="64">
        <v>0.22</v>
      </c>
      <c r="G41" s="131">
        <f>E41-((B12-1)*100)</f>
        <v>-9.1000000000008699E-2</v>
      </c>
      <c r="H41" s="131">
        <f>F41+C12</f>
        <v>0.9</v>
      </c>
      <c r="I41" s="132">
        <f>1-(G41/100)</f>
        <v>1.0009100000000002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0.9</v>
      </c>
      <c r="R41" s="21">
        <f t="shared" si="10"/>
        <v>1.0009100000000002</v>
      </c>
    </row>
    <row r="42" spans="1:21" s="10" customFormat="1" ht="13.9" customHeight="1" thickBot="1" x14ac:dyDescent="0.3">
      <c r="A42" s="162">
        <v>45967</v>
      </c>
      <c r="B42" s="163" t="s">
        <v>157</v>
      </c>
      <c r="C42" s="146" t="str">
        <f>A13</f>
        <v>2:1/120%</v>
      </c>
      <c r="D42" s="146">
        <v>5</v>
      </c>
      <c r="E42" s="87">
        <v>-6.5000000000000002E-2</v>
      </c>
      <c r="F42" s="85">
        <v>2.25</v>
      </c>
      <c r="G42" s="137">
        <f>E42-((B13-1)*100)</f>
        <v>-0.10799999999999305</v>
      </c>
      <c r="H42" s="137">
        <f>F42+C13</f>
        <v>2.923</v>
      </c>
      <c r="I42" s="138">
        <f t="shared" ref="I42" si="16">1-(G42/100)</f>
        <v>1.00108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2.923</v>
      </c>
      <c r="R42" s="148">
        <f>I42</f>
        <v>1.00108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0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B27D-ED5D-4AF0-A58D-5AEF4EC0C37E}">
  <dimension ref="A1:U43"/>
  <sheetViews>
    <sheetView showGridLines="0" view="pageBreakPreview" topLeftCell="A11" zoomScale="90" zoomScaleNormal="115" zoomScaleSheetLayoutView="90" workbookViewId="0">
      <selection activeCell="F41" sqref="F41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29.5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158</v>
      </c>
      <c r="C28" s="139" t="str">
        <f>A6</f>
        <v>2:1/1%</v>
      </c>
      <c r="D28" s="140">
        <v>5</v>
      </c>
      <c r="E28" s="96">
        <v>-0.107</v>
      </c>
      <c r="F28" s="97">
        <v>5.77</v>
      </c>
      <c r="G28" s="129">
        <f>E28-((B6-1)*100)</f>
        <v>-0.19467000000000634</v>
      </c>
      <c r="H28" s="129">
        <f>F28+C6</f>
        <v>9.4369999999999994</v>
      </c>
      <c r="I28" s="130">
        <f>1-(G28/100)</f>
        <v>1.0019467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9.4369999999999994</v>
      </c>
      <c r="N28" s="21">
        <f t="shared" ref="N28:N42" si="1">IFERROR(VLOOKUP($A$6,C28:I28,7,0),0)</f>
        <v>1.0019467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158</v>
      </c>
      <c r="C29" s="141" t="str">
        <f t="shared" ref="C29" si="4">A7</f>
        <v>2:1/5%</v>
      </c>
      <c r="D29" s="142">
        <v>5</v>
      </c>
      <c r="E29" s="86">
        <v>-0.126</v>
      </c>
      <c r="F29" s="64">
        <v>5.8</v>
      </c>
      <c r="G29" s="131">
        <f t="shared" ref="G29" si="5">E29-((B7-1)*100)</f>
        <v>-0.1906699999999889</v>
      </c>
      <c r="H29" s="131">
        <f t="shared" ref="H29" si="6">F29+C7</f>
        <v>7.423</v>
      </c>
      <c r="I29" s="132">
        <f t="shared" ref="I29:I30" si="7">1-(G29/100)</f>
        <v>1.0019066999999999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7.423</v>
      </c>
      <c r="P29" s="21">
        <f t="shared" si="3"/>
        <v>1.0019066999999999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158</v>
      </c>
      <c r="C30" s="141" t="str">
        <f>A9</f>
        <v>2:1/20%</v>
      </c>
      <c r="D30" s="142">
        <v>5</v>
      </c>
      <c r="E30" s="86">
        <v>-0.13600000000000001</v>
      </c>
      <c r="F30" s="64">
        <v>2.61</v>
      </c>
      <c r="G30" s="131">
        <f>E30-((B9-1)*100)</f>
        <v>-0.18700000000000105</v>
      </c>
      <c r="H30" s="131">
        <f>F30+C9</f>
        <v>3.44</v>
      </c>
      <c r="I30" s="132">
        <f t="shared" si="7"/>
        <v>1.00187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3.44</v>
      </c>
      <c r="R30" s="21">
        <f>IFERROR(VLOOKUP($A$9,C30:I30,7,0),IFERROR(VLOOKUP($A$12,C30:I30,7,0),IFERROR(VLOOKUP($A$14,C30:I30,7,0),0)))</f>
        <v>1.00187</v>
      </c>
    </row>
    <row r="31" spans="1:21" s="10" customFormat="1" ht="13.9" customHeight="1" x14ac:dyDescent="0.25">
      <c r="A31" s="161">
        <v>45957</v>
      </c>
      <c r="B31" s="160" t="s">
        <v>158</v>
      </c>
      <c r="C31" s="141" t="str">
        <f>A12</f>
        <v>2:1/100%</v>
      </c>
      <c r="D31" s="142">
        <v>5</v>
      </c>
      <c r="E31" s="86">
        <v>-7.6999999999999999E-2</v>
      </c>
      <c r="F31" s="64">
        <v>0.19</v>
      </c>
      <c r="G31" s="131">
        <f>E31-((B12-1)*100)</f>
        <v>-0.1190000000000087</v>
      </c>
      <c r="H31" s="131">
        <f>F31+C12</f>
        <v>0.87000000000000011</v>
      </c>
      <c r="I31" s="132">
        <f>1-(G31/100)</f>
        <v>1.00119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0.87000000000000011</v>
      </c>
      <c r="R31" s="21">
        <f t="shared" ref="R31:R41" si="10">IFERROR(VLOOKUP($A$9,C31:I31,7,0),IFERROR(VLOOKUP($A$12,C31:I31,7,0),IFERROR(VLOOKUP($A$14,C31:I31,7,0),0)))</f>
        <v>1.00119</v>
      </c>
    </row>
    <row r="32" spans="1:21" s="10" customFormat="1" ht="13.9" customHeight="1" thickBot="1" x14ac:dyDescent="0.3">
      <c r="A32" s="165">
        <v>45957</v>
      </c>
      <c r="B32" s="166" t="s">
        <v>158</v>
      </c>
      <c r="C32" s="143" t="str">
        <f>A13</f>
        <v>2:1/120%</v>
      </c>
      <c r="D32" s="144">
        <v>5</v>
      </c>
      <c r="E32" s="126">
        <v>-7.1999999999999995E-2</v>
      </c>
      <c r="F32" s="127">
        <v>0.11</v>
      </c>
      <c r="G32" s="133">
        <f>E32-((B13-1)*100)</f>
        <v>-0.11499999999999304</v>
      </c>
      <c r="H32" s="133">
        <f>F32+C13</f>
        <v>0.78300000000000003</v>
      </c>
      <c r="I32" s="134">
        <f t="shared" ref="I32" si="11">1-(G32/100)</f>
        <v>1.00115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0.78300000000000003</v>
      </c>
      <c r="R32" s="148">
        <f>I32</f>
        <v>1.00115</v>
      </c>
    </row>
    <row r="33" spans="1:21" s="10" customFormat="1" ht="13.9" customHeight="1" thickTop="1" x14ac:dyDescent="0.25">
      <c r="A33" s="164">
        <v>45957</v>
      </c>
      <c r="B33" s="123" t="s">
        <v>159</v>
      </c>
      <c r="C33" s="145" t="str">
        <f>A6</f>
        <v>2:1/1%</v>
      </c>
      <c r="D33" s="145">
        <v>5</v>
      </c>
      <c r="E33" s="124">
        <v>-0.108</v>
      </c>
      <c r="F33" s="125">
        <v>6.1</v>
      </c>
      <c r="G33" s="135">
        <f>E33-((B6-1)*100)</f>
        <v>-0.19567000000000634</v>
      </c>
      <c r="H33" s="135">
        <f>F33+C6</f>
        <v>9.7669999999999995</v>
      </c>
      <c r="I33" s="136">
        <f>1-(G33/100)</f>
        <v>1.0019567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9.7669999999999995</v>
      </c>
      <c r="N33" s="21">
        <f t="shared" si="1"/>
        <v>1.0019567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159</v>
      </c>
      <c r="C34" s="142" t="str">
        <f>A7</f>
        <v>2:1/5%</v>
      </c>
      <c r="D34" s="142">
        <v>5</v>
      </c>
      <c r="E34" s="86">
        <v>-0.126</v>
      </c>
      <c r="F34" s="64">
        <v>6.81</v>
      </c>
      <c r="G34" s="131">
        <f>E34-((B7-1)*100)</f>
        <v>-0.1906699999999889</v>
      </c>
      <c r="H34" s="131">
        <f>F34+C7</f>
        <v>8.4329999999999998</v>
      </c>
      <c r="I34" s="132">
        <f t="shared" ref="I34:I35" si="12">1-(G34/100)</f>
        <v>1.0019066999999999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8.4329999999999998</v>
      </c>
      <c r="P34" s="21">
        <f t="shared" si="3"/>
        <v>1.0019066999999999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159</v>
      </c>
      <c r="C35" s="142" t="str">
        <f>A9</f>
        <v>2:1/20%</v>
      </c>
      <c r="D35" s="142">
        <v>5</v>
      </c>
      <c r="E35" s="86">
        <v>-0.14299999999999999</v>
      </c>
      <c r="F35" s="64">
        <v>3.81</v>
      </c>
      <c r="G35" s="131">
        <f>E35-((B9-1)*100)</f>
        <v>-0.19400000000000103</v>
      </c>
      <c r="H35" s="131">
        <f>F35+C9</f>
        <v>4.6399999999999997</v>
      </c>
      <c r="I35" s="132">
        <f t="shared" si="12"/>
        <v>1.0019400000000001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4.6399999999999997</v>
      </c>
      <c r="R35" s="21">
        <f t="shared" si="10"/>
        <v>1.0019400000000001</v>
      </c>
    </row>
    <row r="36" spans="1:21" s="10" customFormat="1" ht="13.9" customHeight="1" x14ac:dyDescent="0.25">
      <c r="A36" s="161">
        <v>45957</v>
      </c>
      <c r="B36" s="160" t="s">
        <v>159</v>
      </c>
      <c r="C36" s="142" t="str">
        <f>A12</f>
        <v>2:1/100%</v>
      </c>
      <c r="D36" s="142">
        <v>5</v>
      </c>
      <c r="E36" s="86">
        <v>-8.7999999999999995E-2</v>
      </c>
      <c r="F36" s="64">
        <v>0.61</v>
      </c>
      <c r="G36" s="131">
        <f>E36-((B12-1)*100)</f>
        <v>-0.13000000000000869</v>
      </c>
      <c r="H36" s="131">
        <f>F36+C12</f>
        <v>1.29</v>
      </c>
      <c r="I36" s="132">
        <f>1-(G36/100)</f>
        <v>1.0013000000000001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1.29</v>
      </c>
      <c r="R36" s="21">
        <f t="shared" si="10"/>
        <v>1.0013000000000001</v>
      </c>
    </row>
    <row r="37" spans="1:21" s="10" customFormat="1" ht="13.9" customHeight="1" thickBot="1" x14ac:dyDescent="0.3">
      <c r="A37" s="165">
        <v>45957</v>
      </c>
      <c r="B37" s="166" t="s">
        <v>159</v>
      </c>
      <c r="C37" s="144" t="str">
        <f>A13</f>
        <v>2:1/120%</v>
      </c>
      <c r="D37" s="144">
        <v>5</v>
      </c>
      <c r="E37" s="126">
        <v>-0.08</v>
      </c>
      <c r="F37" s="127">
        <v>0.53</v>
      </c>
      <c r="G37" s="133">
        <f>E37-((B13-1)*100)</f>
        <v>-0.12299999999999305</v>
      </c>
      <c r="H37" s="133">
        <f>F37+C13</f>
        <v>1.2030000000000001</v>
      </c>
      <c r="I37" s="134">
        <f t="shared" ref="I37" si="13">1-(G37/100)</f>
        <v>1.0012299999999998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1.2030000000000001</v>
      </c>
      <c r="R37" s="148">
        <f>I37</f>
        <v>1.0012299999999998</v>
      </c>
    </row>
    <row r="38" spans="1:21" s="10" customFormat="1" ht="13.9" customHeight="1" thickTop="1" x14ac:dyDescent="0.25">
      <c r="A38" s="164">
        <v>45957</v>
      </c>
      <c r="B38" s="123" t="s">
        <v>160</v>
      </c>
      <c r="C38" s="145" t="str">
        <f>A6</f>
        <v>2:1/1%</v>
      </c>
      <c r="D38" s="145">
        <v>5</v>
      </c>
      <c r="E38" s="124">
        <v>-0.06</v>
      </c>
      <c r="F38" s="125">
        <v>6.73</v>
      </c>
      <c r="G38" s="135">
        <f>E38-((B6-1)*100)</f>
        <v>-0.14767000000000635</v>
      </c>
      <c r="H38" s="135">
        <f>F38+C6</f>
        <v>10.397</v>
      </c>
      <c r="I38" s="136">
        <f>1-(G38/100)</f>
        <v>1.0014767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10.397</v>
      </c>
      <c r="N38" s="21">
        <f t="shared" si="1"/>
        <v>1.0014767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160</v>
      </c>
      <c r="C39" s="142" t="str">
        <f>A7</f>
        <v>2:1/5%</v>
      </c>
      <c r="D39" s="142">
        <v>5</v>
      </c>
      <c r="E39" s="86">
        <v>-7.4999999999999997E-2</v>
      </c>
      <c r="F39" s="64">
        <v>6.25</v>
      </c>
      <c r="G39" s="131">
        <f>E39-((B7-1)*100)</f>
        <v>-0.13966999999998891</v>
      </c>
      <c r="H39" s="131">
        <f>F39+C7</f>
        <v>7.8730000000000002</v>
      </c>
      <c r="I39" s="132">
        <f t="shared" ref="I39:I40" si="14">1-(G39/100)</f>
        <v>1.0013966999999999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7.8730000000000002</v>
      </c>
      <c r="P39" s="21">
        <f t="shared" si="3"/>
        <v>1.0013966999999999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160</v>
      </c>
      <c r="C40" s="142" t="str">
        <f>A9</f>
        <v>2:1/20%</v>
      </c>
      <c r="D40" s="142">
        <v>5</v>
      </c>
      <c r="E40" s="86">
        <v>-9.6000000000000002E-2</v>
      </c>
      <c r="F40" s="64">
        <v>4.38</v>
      </c>
      <c r="G40" s="131">
        <f>E40-((B9-1)*100)</f>
        <v>-0.14700000000000105</v>
      </c>
      <c r="H40" s="131">
        <f>F40+C9</f>
        <v>5.21</v>
      </c>
      <c r="I40" s="132">
        <f t="shared" si="14"/>
        <v>1.0014700000000001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5.21</v>
      </c>
      <c r="R40" s="21">
        <f t="shared" si="10"/>
        <v>1.0014700000000001</v>
      </c>
    </row>
    <row r="41" spans="1:21" s="10" customFormat="1" ht="13.9" customHeight="1" x14ac:dyDescent="0.25">
      <c r="A41" s="161">
        <v>45957</v>
      </c>
      <c r="B41" s="160" t="s">
        <v>160</v>
      </c>
      <c r="C41" s="142" t="str">
        <f>A12</f>
        <v>2:1/100%</v>
      </c>
      <c r="D41" s="142">
        <v>5</v>
      </c>
      <c r="E41" s="86">
        <v>-6.2E-2</v>
      </c>
      <c r="F41" s="64">
        <v>1.54</v>
      </c>
      <c r="G41" s="131">
        <f>E41-((B12-1)*100)</f>
        <v>-0.1040000000000087</v>
      </c>
      <c r="H41" s="131">
        <f>F41+C12</f>
        <v>2.2200000000000002</v>
      </c>
      <c r="I41" s="132">
        <f>1-(G41/100)</f>
        <v>1.0010400000000002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2.2200000000000002</v>
      </c>
      <c r="R41" s="21">
        <f t="shared" si="10"/>
        <v>1.0010400000000002</v>
      </c>
    </row>
    <row r="42" spans="1:21" s="10" customFormat="1" ht="13.9" customHeight="1" thickBot="1" x14ac:dyDescent="0.3">
      <c r="A42" s="162">
        <v>45957</v>
      </c>
      <c r="B42" s="163" t="s">
        <v>160</v>
      </c>
      <c r="C42" s="146" t="str">
        <f>A13</f>
        <v>2:1/120%</v>
      </c>
      <c r="D42" s="146">
        <v>5</v>
      </c>
      <c r="E42" s="87">
        <v>-6.4000000000000001E-2</v>
      </c>
      <c r="F42" s="85">
        <v>2.0499999999999998</v>
      </c>
      <c r="G42" s="137">
        <f>E42-((B13-1)*100)</f>
        <v>-0.10699999999999305</v>
      </c>
      <c r="H42" s="137">
        <f>F42+C13</f>
        <v>2.7229999999999999</v>
      </c>
      <c r="I42" s="138">
        <f t="shared" ref="I42" si="16">1-(G42/100)</f>
        <v>1.0010699999999999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2.7229999999999999</v>
      </c>
      <c r="R42" s="148">
        <f>I42</f>
        <v>1.0010699999999999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9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C992-CFF5-4447-A719-F09D5EDDDCA0}">
  <dimension ref="A1:U43"/>
  <sheetViews>
    <sheetView showGridLines="0" view="pageBreakPreview" topLeftCell="A13" zoomScaleNormal="115" zoomScaleSheetLayoutView="100" workbookViewId="0">
      <selection activeCell="F42" sqref="F42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29.3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161</v>
      </c>
      <c r="C28" s="139" t="str">
        <f>A6</f>
        <v>2:1/1%</v>
      </c>
      <c r="D28" s="140">
        <v>5</v>
      </c>
      <c r="E28" s="96">
        <v>-0.10100000000000001</v>
      </c>
      <c r="F28" s="97">
        <v>5.32</v>
      </c>
      <c r="G28" s="129">
        <f>E28-((B6-1)*100)</f>
        <v>-0.18867000000000636</v>
      </c>
      <c r="H28" s="129">
        <f>F28+C6</f>
        <v>8.9870000000000001</v>
      </c>
      <c r="I28" s="130">
        <f>1-(G28/100)</f>
        <v>1.0018867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8.9870000000000001</v>
      </c>
      <c r="N28" s="21">
        <f t="shared" ref="N28:N42" si="1">IFERROR(VLOOKUP($A$6,C28:I28,7,0),0)</f>
        <v>1.0018867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161</v>
      </c>
      <c r="C29" s="141" t="str">
        <f t="shared" ref="C29" si="4">A7</f>
        <v>2:1/5%</v>
      </c>
      <c r="D29" s="142">
        <v>5</v>
      </c>
      <c r="E29" s="86">
        <v>-0.122</v>
      </c>
      <c r="F29" s="64">
        <v>5.81</v>
      </c>
      <c r="G29" s="131">
        <f t="shared" ref="G29" si="5">E29-((B7-1)*100)</f>
        <v>-0.1866699999999889</v>
      </c>
      <c r="H29" s="131">
        <f t="shared" ref="H29" si="6">F29+C7</f>
        <v>7.4329999999999998</v>
      </c>
      <c r="I29" s="132">
        <f t="shared" ref="I29:I30" si="7">1-(G29/100)</f>
        <v>1.0018666999999999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7.4329999999999998</v>
      </c>
      <c r="P29" s="21">
        <f t="shared" si="3"/>
        <v>1.0018666999999999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161</v>
      </c>
      <c r="C30" s="141" t="str">
        <f>A9</f>
        <v>2:1/20%</v>
      </c>
      <c r="D30" s="142">
        <v>5</v>
      </c>
      <c r="E30" s="86">
        <v>-0.13600000000000001</v>
      </c>
      <c r="F30" s="64">
        <v>2.94</v>
      </c>
      <c r="G30" s="131">
        <f>E30-((B9-1)*100)</f>
        <v>-0.18700000000000105</v>
      </c>
      <c r="H30" s="131">
        <f>F30+C9</f>
        <v>3.77</v>
      </c>
      <c r="I30" s="132">
        <f t="shared" si="7"/>
        <v>1.00187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3.77</v>
      </c>
      <c r="R30" s="21">
        <f>IFERROR(VLOOKUP($A$9,C30:I30,7,0),IFERROR(VLOOKUP($A$12,C30:I30,7,0),IFERROR(VLOOKUP($A$14,C30:I30,7,0),0)))</f>
        <v>1.00187</v>
      </c>
    </row>
    <row r="31" spans="1:21" s="10" customFormat="1" ht="13.9" customHeight="1" x14ac:dyDescent="0.25">
      <c r="A31" s="161">
        <v>45957</v>
      </c>
      <c r="B31" s="160" t="s">
        <v>161</v>
      </c>
      <c r="C31" s="141" t="str">
        <f>A12</f>
        <v>2:1/100%</v>
      </c>
      <c r="D31" s="142">
        <v>5</v>
      </c>
      <c r="E31" s="86">
        <v>-7.3999999999999996E-2</v>
      </c>
      <c r="F31" s="64">
        <v>0.25</v>
      </c>
      <c r="G31" s="131">
        <f>E31-((B12-1)*100)</f>
        <v>-0.11600000000000869</v>
      </c>
      <c r="H31" s="131">
        <f>F31+C12</f>
        <v>0.93</v>
      </c>
      <c r="I31" s="132">
        <f>1-(G31/100)</f>
        <v>1.00116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0.93</v>
      </c>
      <c r="R31" s="21">
        <f t="shared" ref="R31:R41" si="10">IFERROR(VLOOKUP($A$9,C31:I31,7,0),IFERROR(VLOOKUP($A$12,C31:I31,7,0),IFERROR(VLOOKUP($A$14,C31:I31,7,0),0)))</f>
        <v>1.00116</v>
      </c>
    </row>
    <row r="32" spans="1:21" s="10" customFormat="1" ht="13.9" customHeight="1" thickBot="1" x14ac:dyDescent="0.3">
      <c r="A32" s="165">
        <v>45957</v>
      </c>
      <c r="B32" s="166" t="s">
        <v>161</v>
      </c>
      <c r="C32" s="143" t="str">
        <f>A13</f>
        <v>2:1/120%</v>
      </c>
      <c r="D32" s="144">
        <v>5</v>
      </c>
      <c r="E32" s="126">
        <v>6.9000000000000006E-2</v>
      </c>
      <c r="F32" s="127">
        <v>0.33</v>
      </c>
      <c r="G32" s="133">
        <f>E32-((B13-1)*100)</f>
        <v>2.6000000000006962E-2</v>
      </c>
      <c r="H32" s="133">
        <f>F32+C13</f>
        <v>1.0030000000000001</v>
      </c>
      <c r="I32" s="134">
        <f t="shared" ref="I32" si="11">1-(G32/100)</f>
        <v>0.99973999999999996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1.0030000000000001</v>
      </c>
      <c r="R32" s="148">
        <f>I32</f>
        <v>0.99973999999999996</v>
      </c>
    </row>
    <row r="33" spans="1:21" s="10" customFormat="1" ht="13.9" customHeight="1" thickTop="1" x14ac:dyDescent="0.25">
      <c r="A33" s="164">
        <v>45957</v>
      </c>
      <c r="B33" s="123" t="s">
        <v>162</v>
      </c>
      <c r="C33" s="145" t="str">
        <f>A6</f>
        <v>2:1/1%</v>
      </c>
      <c r="D33" s="145">
        <v>5</v>
      </c>
      <c r="E33" s="124">
        <v>-4.4999999999999998E-2</v>
      </c>
      <c r="F33" s="125">
        <v>0.61</v>
      </c>
      <c r="G33" s="135">
        <f>E33-((B6-1)*100)</f>
        <v>-0.13267000000000634</v>
      </c>
      <c r="H33" s="135">
        <f>F33+C6</f>
        <v>4.2770000000000001</v>
      </c>
      <c r="I33" s="136">
        <f>1-(G33/100)</f>
        <v>1.0013267000000001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4.2770000000000001</v>
      </c>
      <c r="N33" s="21">
        <f t="shared" si="1"/>
        <v>1.0013267000000001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162</v>
      </c>
      <c r="C34" s="142" t="str">
        <f>A7</f>
        <v>2:1/5%</v>
      </c>
      <c r="D34" s="142">
        <v>5</v>
      </c>
      <c r="E34" s="86">
        <v>-0.05</v>
      </c>
      <c r="F34" s="64">
        <v>2.2400000000000002</v>
      </c>
      <c r="G34" s="131">
        <f>E34-((B7-1)*100)</f>
        <v>-0.11466999999998891</v>
      </c>
      <c r="H34" s="131">
        <f>F34+C7</f>
        <v>3.8630000000000004</v>
      </c>
      <c r="I34" s="132">
        <f t="shared" ref="I34:I35" si="12">1-(G34/100)</f>
        <v>1.0011466999999998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3.8630000000000004</v>
      </c>
      <c r="P34" s="21">
        <f t="shared" si="3"/>
        <v>1.0011466999999998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162</v>
      </c>
      <c r="C35" s="142" t="str">
        <f>A9</f>
        <v>2:1/20%</v>
      </c>
      <c r="D35" s="142">
        <v>5</v>
      </c>
      <c r="E35" s="86">
        <v>-6.4000000000000001E-2</v>
      </c>
      <c r="F35" s="64">
        <v>1.78</v>
      </c>
      <c r="G35" s="131">
        <f>E35-((B9-1)*100)</f>
        <v>-0.11500000000000105</v>
      </c>
      <c r="H35" s="131">
        <f>F35+C9</f>
        <v>2.61</v>
      </c>
      <c r="I35" s="132">
        <f t="shared" si="12"/>
        <v>1.00115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2.61</v>
      </c>
      <c r="R35" s="21">
        <f t="shared" si="10"/>
        <v>1.00115</v>
      </c>
    </row>
    <row r="36" spans="1:21" s="10" customFormat="1" ht="13.9" customHeight="1" x14ac:dyDescent="0.25">
      <c r="A36" s="161">
        <v>45957</v>
      </c>
      <c r="B36" s="160" t="s">
        <v>162</v>
      </c>
      <c r="C36" s="142" t="str">
        <f>A12</f>
        <v>2:1/100%</v>
      </c>
      <c r="D36" s="142">
        <v>5</v>
      </c>
      <c r="E36" s="86">
        <v>-4.1000000000000002E-2</v>
      </c>
      <c r="F36" s="64">
        <v>0.47</v>
      </c>
      <c r="G36" s="131">
        <f>E36-((B12-1)*100)</f>
        <v>-8.3000000000008706E-2</v>
      </c>
      <c r="H36" s="131">
        <f>F36+C12</f>
        <v>1.1499999999999999</v>
      </c>
      <c r="I36" s="132">
        <f>1-(G36/100)</f>
        <v>1.0008300000000001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1.1499999999999999</v>
      </c>
      <c r="R36" s="21">
        <f t="shared" si="10"/>
        <v>1.0008300000000001</v>
      </c>
    </row>
    <row r="37" spans="1:21" s="10" customFormat="1" ht="13.9" customHeight="1" thickBot="1" x14ac:dyDescent="0.3">
      <c r="A37" s="165">
        <v>45957</v>
      </c>
      <c r="B37" s="166" t="s">
        <v>162</v>
      </c>
      <c r="C37" s="144" t="str">
        <f>A13</f>
        <v>2:1/120%</v>
      </c>
      <c r="D37" s="144">
        <v>5</v>
      </c>
      <c r="E37" s="126">
        <v>-3.9E-2</v>
      </c>
      <c r="F37" s="127">
        <v>0.35</v>
      </c>
      <c r="G37" s="133">
        <f>E37-((B13-1)*100)</f>
        <v>-8.1999999999993051E-2</v>
      </c>
      <c r="H37" s="133">
        <f>F37+C13</f>
        <v>1.0230000000000001</v>
      </c>
      <c r="I37" s="134">
        <f t="shared" ref="I37" si="13">1-(G37/100)</f>
        <v>1.0008199999999998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1.0230000000000001</v>
      </c>
      <c r="R37" s="148">
        <f>I37</f>
        <v>1.0008199999999998</v>
      </c>
    </row>
    <row r="38" spans="1:21" s="10" customFormat="1" ht="13.9" customHeight="1" thickTop="1" x14ac:dyDescent="0.25">
      <c r="A38" s="164">
        <v>45957</v>
      </c>
      <c r="B38" s="123" t="s">
        <v>163</v>
      </c>
      <c r="C38" s="145" t="str">
        <f>A6</f>
        <v>2:1/1%</v>
      </c>
      <c r="D38" s="145">
        <v>5</v>
      </c>
      <c r="E38" s="124">
        <v>-0.11600000000000001</v>
      </c>
      <c r="F38" s="125">
        <v>8.2100000000000009</v>
      </c>
      <c r="G38" s="135">
        <f>E38-((B6-1)*100)</f>
        <v>-0.20367000000000635</v>
      </c>
      <c r="H38" s="135">
        <f>F38+C6</f>
        <v>11.877000000000001</v>
      </c>
      <c r="I38" s="136">
        <f>1-(G38/100)</f>
        <v>1.0020367000000001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11.877000000000001</v>
      </c>
      <c r="N38" s="21">
        <f t="shared" si="1"/>
        <v>1.0020367000000001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163</v>
      </c>
      <c r="C39" s="142" t="str">
        <f>A7</f>
        <v>2:1/5%</v>
      </c>
      <c r="D39" s="142">
        <v>5</v>
      </c>
      <c r="E39" s="86">
        <v>-0.13100000000000001</v>
      </c>
      <c r="F39" s="64">
        <v>8.1300000000000008</v>
      </c>
      <c r="G39" s="131">
        <f>E39-((B7-1)*100)</f>
        <v>-0.19566999999998891</v>
      </c>
      <c r="H39" s="131">
        <f>F39+C7</f>
        <v>9.7530000000000001</v>
      </c>
      <c r="I39" s="132">
        <f t="shared" ref="I39:I40" si="14">1-(G39/100)</f>
        <v>1.0019566999999998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9.7530000000000001</v>
      </c>
      <c r="P39" s="21">
        <f t="shared" si="3"/>
        <v>1.0019566999999998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163</v>
      </c>
      <c r="C40" s="142" t="str">
        <f>A9</f>
        <v>2:1/20%</v>
      </c>
      <c r="D40" s="142">
        <v>5</v>
      </c>
      <c r="E40" s="86">
        <v>-0.153</v>
      </c>
      <c r="F40" s="64">
        <v>5.22</v>
      </c>
      <c r="G40" s="131">
        <f>E40-((B9-1)*100)</f>
        <v>-0.20400000000000104</v>
      </c>
      <c r="H40" s="131">
        <f>F40+C9</f>
        <v>6.05</v>
      </c>
      <c r="I40" s="132">
        <f t="shared" si="14"/>
        <v>1.00204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6.05</v>
      </c>
      <c r="R40" s="21">
        <f t="shared" si="10"/>
        <v>1.00204</v>
      </c>
    </row>
    <row r="41" spans="1:21" s="10" customFormat="1" ht="13.9" customHeight="1" x14ac:dyDescent="0.25">
      <c r="A41" s="161">
        <v>45957</v>
      </c>
      <c r="B41" s="160" t="s">
        <v>163</v>
      </c>
      <c r="C41" s="142" t="str">
        <f>A12</f>
        <v>2:1/100%</v>
      </c>
      <c r="D41" s="142">
        <v>5</v>
      </c>
      <c r="E41" s="86">
        <v>-0.105</v>
      </c>
      <c r="F41" s="64">
        <v>2.25</v>
      </c>
      <c r="G41" s="131">
        <f>E41-((B12-1)*100)</f>
        <v>-0.14700000000000868</v>
      </c>
      <c r="H41" s="131">
        <f>F41+C12</f>
        <v>2.93</v>
      </c>
      <c r="I41" s="132">
        <f>1-(G41/100)</f>
        <v>1.0014700000000001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2.93</v>
      </c>
      <c r="R41" s="21">
        <f t="shared" si="10"/>
        <v>1.0014700000000001</v>
      </c>
    </row>
    <row r="42" spans="1:21" s="10" customFormat="1" ht="13.9" customHeight="1" thickBot="1" x14ac:dyDescent="0.3">
      <c r="A42" s="162">
        <v>45957</v>
      </c>
      <c r="B42" s="163" t="s">
        <v>163</v>
      </c>
      <c r="C42" s="146" t="str">
        <f>A13</f>
        <v>2:1/120%</v>
      </c>
      <c r="D42" s="146">
        <v>5</v>
      </c>
      <c r="E42" s="87">
        <v>-0.111</v>
      </c>
      <c r="F42" s="85">
        <v>3.08</v>
      </c>
      <c r="G42" s="137">
        <f>E42-((B13-1)*100)</f>
        <v>-0.15399999999999303</v>
      </c>
      <c r="H42" s="137">
        <f>F42+C13</f>
        <v>3.7530000000000001</v>
      </c>
      <c r="I42" s="138">
        <f t="shared" ref="I42" si="16">1-(G42/100)</f>
        <v>1.0015399999999999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3.7530000000000001</v>
      </c>
      <c r="R42" s="148">
        <f>I42</f>
        <v>1.0015399999999999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8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4130-8B57-41E7-AB1E-090E6C89B85F}">
  <sheetPr>
    <tabColor theme="0"/>
  </sheetPr>
  <dimension ref="A1:U43"/>
  <sheetViews>
    <sheetView showGridLines="0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26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35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45967</v>
      </c>
      <c r="B28" s="159" t="s">
        <v>164</v>
      </c>
      <c r="C28" s="139" t="str">
        <f>A6</f>
        <v>2:1/1%</v>
      </c>
      <c r="D28" s="140">
        <v>5</v>
      </c>
      <c r="E28" s="96">
        <v>-0.111</v>
      </c>
      <c r="F28" s="97">
        <v>5.23</v>
      </c>
      <c r="G28" s="129">
        <f>E28-((B6-1)*100)</f>
        <v>-0.19867000000000634</v>
      </c>
      <c r="H28" s="129">
        <f>F28+C6</f>
        <v>8.8970000000000002</v>
      </c>
      <c r="I28" s="130">
        <f>1-(G28/100)</f>
        <v>1.0019867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8.8970000000000002</v>
      </c>
      <c r="N28" s="21">
        <f t="shared" ref="N28:N42" si="1">IFERROR(VLOOKUP($A$6,C28:I28,7,0),0)</f>
        <v>1.0019867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45967</v>
      </c>
      <c r="B29" s="160" t="s">
        <v>164</v>
      </c>
      <c r="C29" s="141" t="str">
        <f t="shared" ref="C29" si="4">A7</f>
        <v>2:1/5%</v>
      </c>
      <c r="D29" s="142">
        <v>5</v>
      </c>
      <c r="E29" s="86">
        <v>-0.127</v>
      </c>
      <c r="F29" s="64">
        <v>5.14</v>
      </c>
      <c r="G29" s="131">
        <f t="shared" ref="G29" si="5">E29-((B7-1)*100)</f>
        <v>-0.1916699999999889</v>
      </c>
      <c r="H29" s="131">
        <f t="shared" ref="H29" si="6">F29+C7</f>
        <v>6.7629999999999999</v>
      </c>
      <c r="I29" s="132">
        <f t="shared" ref="I29:I30" si="7">1-(G29/100)</f>
        <v>1.0019167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6.7629999999999999</v>
      </c>
      <c r="P29" s="21">
        <f t="shared" si="3"/>
        <v>1.0019167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45967</v>
      </c>
      <c r="B30" s="160" t="s">
        <v>164</v>
      </c>
      <c r="C30" s="141" t="str">
        <f>A9</f>
        <v>2:1/20%</v>
      </c>
      <c r="D30" s="142">
        <v>5</v>
      </c>
      <c r="E30" s="86">
        <v>-0.129</v>
      </c>
      <c r="F30" s="64">
        <v>2.41</v>
      </c>
      <c r="G30" s="131">
        <f>E30-((B9-1)*100)</f>
        <v>-0.18000000000000105</v>
      </c>
      <c r="H30" s="131">
        <f>F30+C9</f>
        <v>3.24</v>
      </c>
      <c r="I30" s="132">
        <f t="shared" si="7"/>
        <v>1.0018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3.24</v>
      </c>
      <c r="R30" s="21">
        <f>IFERROR(VLOOKUP($A$9,C30:I30,7,0),IFERROR(VLOOKUP($A$12,C30:I30,7,0),IFERROR(VLOOKUP($A$14,C30:I30,7,0),0)))</f>
        <v>1.0018</v>
      </c>
    </row>
    <row r="31" spans="1:21" s="10" customFormat="1" ht="13.9" customHeight="1" x14ac:dyDescent="0.25">
      <c r="A31" s="161">
        <v>45967</v>
      </c>
      <c r="B31" s="160" t="s">
        <v>164</v>
      </c>
      <c r="C31" s="141" t="str">
        <f>A12</f>
        <v>2:1/100%</v>
      </c>
      <c r="D31" s="142">
        <v>5</v>
      </c>
      <c r="E31" s="86">
        <v>-0.08</v>
      </c>
      <c r="F31" s="64">
        <v>0.35</v>
      </c>
      <c r="G31" s="131">
        <f>E31-((B12-1)*100)</f>
        <v>-0.1220000000000087</v>
      </c>
      <c r="H31" s="131">
        <f>F31+C12</f>
        <v>1.03</v>
      </c>
      <c r="I31" s="132">
        <f>1-(G31/100)</f>
        <v>1.00122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1.03</v>
      </c>
      <c r="R31" s="21">
        <f t="shared" ref="R31:R41" si="10">IFERROR(VLOOKUP($A$9,C31:I31,7,0),IFERROR(VLOOKUP($A$12,C31:I31,7,0),IFERROR(VLOOKUP($A$14,C31:I31,7,0),0)))</f>
        <v>1.00122</v>
      </c>
    </row>
    <row r="32" spans="1:21" s="10" customFormat="1" ht="13.9" customHeight="1" thickBot="1" x14ac:dyDescent="0.3">
      <c r="A32" s="165">
        <v>45967</v>
      </c>
      <c r="B32" s="166" t="s">
        <v>164</v>
      </c>
      <c r="C32" s="143" t="str">
        <f>A13</f>
        <v>2:1/120%</v>
      </c>
      <c r="D32" s="144">
        <v>5</v>
      </c>
      <c r="E32" s="126">
        <v>-7.1999999999999995E-2</v>
      </c>
      <c r="F32" s="127">
        <v>0.19</v>
      </c>
      <c r="G32" s="133">
        <f>E32-((B13-1)*100)</f>
        <v>-0.11499999999999304</v>
      </c>
      <c r="H32" s="133">
        <f>F32+C13</f>
        <v>0.86299999999999999</v>
      </c>
      <c r="I32" s="134">
        <f t="shared" ref="I32" si="11">1-(G32/100)</f>
        <v>1.00115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0.86299999999999999</v>
      </c>
      <c r="R32" s="148">
        <f>I32</f>
        <v>1.00115</v>
      </c>
    </row>
    <row r="33" spans="1:21" s="10" customFormat="1" ht="13.9" customHeight="1" thickTop="1" x14ac:dyDescent="0.25">
      <c r="A33" s="164">
        <v>45967</v>
      </c>
      <c r="B33" s="123" t="s">
        <v>165</v>
      </c>
      <c r="C33" s="145" t="str">
        <f>A6</f>
        <v>2:1/1%</v>
      </c>
      <c r="D33" s="145">
        <v>5</v>
      </c>
      <c r="E33" s="124">
        <v>-5.1999999999999998E-2</v>
      </c>
      <c r="F33" s="125">
        <v>1.44</v>
      </c>
      <c r="G33" s="135">
        <f>E33-((B6-1)*100)</f>
        <v>-0.13967000000000634</v>
      </c>
      <c r="H33" s="135">
        <f>F33+C6</f>
        <v>5.1069999999999993</v>
      </c>
      <c r="I33" s="136">
        <f>1-(G33/100)</f>
        <v>1.0013967000000001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5.1069999999999993</v>
      </c>
      <c r="N33" s="21">
        <f t="shared" si="1"/>
        <v>1.0013967000000001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45967</v>
      </c>
      <c r="B34" s="160" t="s">
        <v>165</v>
      </c>
      <c r="C34" s="142" t="str">
        <f>A7</f>
        <v>2:1/5%</v>
      </c>
      <c r="D34" s="142">
        <v>5</v>
      </c>
      <c r="E34" s="86">
        <v>-6.4000000000000001E-2</v>
      </c>
      <c r="F34" s="64">
        <v>3.12</v>
      </c>
      <c r="G34" s="131">
        <f>E34-((B7-1)*100)</f>
        <v>-0.1286699999999889</v>
      </c>
      <c r="H34" s="131">
        <f>F34+C7</f>
        <v>4.7430000000000003</v>
      </c>
      <c r="I34" s="132">
        <f t="shared" ref="I34:I35" si="12">1-(G34/100)</f>
        <v>1.0012866999999999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4.7430000000000003</v>
      </c>
      <c r="P34" s="21">
        <f t="shared" si="3"/>
        <v>1.0012866999999999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45967</v>
      </c>
      <c r="B35" s="160" t="s">
        <v>165</v>
      </c>
      <c r="C35" s="142" t="str">
        <f>A9</f>
        <v>2:1/20%</v>
      </c>
      <c r="D35" s="142">
        <v>5</v>
      </c>
      <c r="E35" s="86">
        <v>-8.3000000000000004E-2</v>
      </c>
      <c r="F35" s="64">
        <v>2.14</v>
      </c>
      <c r="G35" s="131">
        <f>E35-((B9-1)*100)</f>
        <v>-0.13400000000000106</v>
      </c>
      <c r="H35" s="131">
        <f>F35+C9</f>
        <v>2.97</v>
      </c>
      <c r="I35" s="132">
        <f t="shared" si="12"/>
        <v>1.0013400000000001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2.97</v>
      </c>
      <c r="R35" s="21">
        <f t="shared" si="10"/>
        <v>1.0013400000000001</v>
      </c>
    </row>
    <row r="36" spans="1:21" s="10" customFormat="1" ht="13.9" customHeight="1" x14ac:dyDescent="0.25">
      <c r="A36" s="161">
        <v>45967</v>
      </c>
      <c r="B36" s="160" t="s">
        <v>165</v>
      </c>
      <c r="C36" s="142" t="str">
        <f>A12</f>
        <v>2:1/100%</v>
      </c>
      <c r="D36" s="142">
        <v>5</v>
      </c>
      <c r="E36" s="86">
        <v>-5.3999999999999999E-2</v>
      </c>
      <c r="F36" s="64">
        <v>0.16</v>
      </c>
      <c r="G36" s="131">
        <f>E36-((B12-1)*100)</f>
        <v>-9.6000000000008689E-2</v>
      </c>
      <c r="H36" s="131">
        <f>F36+C12</f>
        <v>0.84000000000000008</v>
      </c>
      <c r="I36" s="132">
        <f>1-(G36/100)</f>
        <v>1.0009600000000001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0.84000000000000008</v>
      </c>
      <c r="R36" s="21">
        <f t="shared" si="10"/>
        <v>1.0009600000000001</v>
      </c>
    </row>
    <row r="37" spans="1:21" s="10" customFormat="1" ht="13.9" customHeight="1" thickBot="1" x14ac:dyDescent="0.3">
      <c r="A37" s="165">
        <v>45967</v>
      </c>
      <c r="B37" s="166" t="s">
        <v>165</v>
      </c>
      <c r="C37" s="144" t="str">
        <f>A13</f>
        <v>2:1/120%</v>
      </c>
      <c r="D37" s="144">
        <v>5</v>
      </c>
      <c r="E37" s="126">
        <v>-4.8000000000000001E-2</v>
      </c>
      <c r="F37" s="127">
        <v>0.05</v>
      </c>
      <c r="G37" s="133">
        <f>E37-((B13-1)*100)</f>
        <v>-9.0999999999993045E-2</v>
      </c>
      <c r="H37" s="133">
        <f>F37+C13</f>
        <v>0.72300000000000009</v>
      </c>
      <c r="I37" s="134">
        <f t="shared" ref="I37" si="13">1-(G37/100)</f>
        <v>1.00091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0.72300000000000009</v>
      </c>
      <c r="R37" s="148">
        <f>I37</f>
        <v>1.00091</v>
      </c>
    </row>
    <row r="38" spans="1:21" s="10" customFormat="1" ht="13.9" customHeight="1" thickTop="1" x14ac:dyDescent="0.25">
      <c r="A38" s="164">
        <v>45967</v>
      </c>
      <c r="B38" s="123" t="s">
        <v>166</v>
      </c>
      <c r="C38" s="145" t="str">
        <f>A6</f>
        <v>2:1/1%</v>
      </c>
      <c r="D38" s="145">
        <v>5</v>
      </c>
      <c r="E38" s="124">
        <v>-0.11700000000000001</v>
      </c>
      <c r="F38" s="125">
        <v>7.79</v>
      </c>
      <c r="G38" s="135">
        <f>E38-((B6-1)*100)</f>
        <v>-0.20467000000000635</v>
      </c>
      <c r="H38" s="135">
        <f>F38+C6</f>
        <v>11.457000000000001</v>
      </c>
      <c r="I38" s="136">
        <f>1-(G38/100)</f>
        <v>1.0020467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11.457000000000001</v>
      </c>
      <c r="N38" s="21">
        <f t="shared" si="1"/>
        <v>1.0020467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45967</v>
      </c>
      <c r="B39" s="160" t="s">
        <v>166</v>
      </c>
      <c r="C39" s="142" t="str">
        <f>A7</f>
        <v>2:1/5%</v>
      </c>
      <c r="D39" s="142">
        <v>5</v>
      </c>
      <c r="E39" s="86">
        <v>-0.127</v>
      </c>
      <c r="F39" s="64">
        <v>8.23</v>
      </c>
      <c r="G39" s="131">
        <f>E39-((B7-1)*100)</f>
        <v>-0.1916699999999889</v>
      </c>
      <c r="H39" s="131">
        <f>F39+C7</f>
        <v>9.8529999999999998</v>
      </c>
      <c r="I39" s="132">
        <f t="shared" ref="I39:I40" si="14">1-(G39/100)</f>
        <v>1.0019167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9.8529999999999998</v>
      </c>
      <c r="P39" s="21">
        <f t="shared" si="3"/>
        <v>1.0019167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45967</v>
      </c>
      <c r="B40" s="160" t="s">
        <v>166</v>
      </c>
      <c r="C40" s="142" t="str">
        <f>A9</f>
        <v>2:1/20%</v>
      </c>
      <c r="D40" s="142">
        <v>5</v>
      </c>
      <c r="E40" s="86">
        <v>-0.14799999999999999</v>
      </c>
      <c r="F40" s="64">
        <v>6.15</v>
      </c>
      <c r="G40" s="131">
        <f>E40-((B9-1)*100)</f>
        <v>-0.19900000000000104</v>
      </c>
      <c r="H40" s="131">
        <f>F40+C9</f>
        <v>6.98</v>
      </c>
      <c r="I40" s="132">
        <f t="shared" si="14"/>
        <v>1.0019899999999999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6.98</v>
      </c>
      <c r="R40" s="21">
        <f t="shared" si="10"/>
        <v>1.0019899999999999</v>
      </c>
    </row>
    <row r="41" spans="1:21" s="10" customFormat="1" ht="13.9" customHeight="1" x14ac:dyDescent="0.25">
      <c r="A41" s="161">
        <v>45967</v>
      </c>
      <c r="B41" s="160" t="s">
        <v>166</v>
      </c>
      <c r="C41" s="142" t="str">
        <f>A12</f>
        <v>2:1/100%</v>
      </c>
      <c r="D41" s="142">
        <v>5</v>
      </c>
      <c r="E41" s="86">
        <v>-9.6000000000000002E-2</v>
      </c>
      <c r="F41" s="64">
        <v>0.89</v>
      </c>
      <c r="G41" s="131">
        <f>E41-((B12-1)*100)</f>
        <v>-0.1380000000000087</v>
      </c>
      <c r="H41" s="131">
        <f>F41+C12</f>
        <v>1.57</v>
      </c>
      <c r="I41" s="132">
        <f>1-(G41/100)</f>
        <v>1.0013800000000002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1.57</v>
      </c>
      <c r="R41" s="21">
        <f t="shared" si="10"/>
        <v>1.0013800000000002</v>
      </c>
    </row>
    <row r="42" spans="1:21" s="10" customFormat="1" ht="13.9" customHeight="1" thickBot="1" x14ac:dyDescent="0.3">
      <c r="A42" s="162">
        <v>45967</v>
      </c>
      <c r="B42" s="163" t="s">
        <v>166</v>
      </c>
      <c r="C42" s="146" t="str">
        <f>A13</f>
        <v>2:1/120%</v>
      </c>
      <c r="D42" s="146">
        <v>5</v>
      </c>
      <c r="E42" s="87">
        <v>-8.5000000000000006E-2</v>
      </c>
      <c r="F42" s="85">
        <v>0.91</v>
      </c>
      <c r="G42" s="137">
        <f>E42-((B13-1)*100)</f>
        <v>-0.12799999999999306</v>
      </c>
      <c r="H42" s="137">
        <f>F42+C13</f>
        <v>1.5830000000000002</v>
      </c>
      <c r="I42" s="138">
        <f t="shared" ref="I42" si="16">1-(G42/100)</f>
        <v>1.0012799999999999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1.5830000000000002</v>
      </c>
      <c r="R42" s="148">
        <f>I42</f>
        <v>1.0012799999999999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7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0869-B333-4171-A374-E7591467BB00}">
  <dimension ref="A1:U43"/>
  <sheetViews>
    <sheetView showGridLines="0" tabSelected="1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26.2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35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45967</v>
      </c>
      <c r="B28" s="159" t="s">
        <v>167</v>
      </c>
      <c r="C28" s="139" t="str">
        <f>A6</f>
        <v>2:1/1%</v>
      </c>
      <c r="D28" s="140">
        <v>5</v>
      </c>
      <c r="E28" s="96">
        <v>-8.5999999999999993E-2</v>
      </c>
      <c r="F28" s="97">
        <v>3.88</v>
      </c>
      <c r="G28" s="129">
        <f>E28-((B6-1)*100)</f>
        <v>-0.17367000000000635</v>
      </c>
      <c r="H28" s="129">
        <f>F28+C6</f>
        <v>7.5469999999999997</v>
      </c>
      <c r="I28" s="130">
        <f>1-(G28/100)</f>
        <v>1.0017367000000001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7.5469999999999997</v>
      </c>
      <c r="N28" s="21">
        <f t="shared" ref="N28:N42" si="1">IFERROR(VLOOKUP($A$6,C28:I28,7,0),0)</f>
        <v>1.0017367000000001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45967</v>
      </c>
      <c r="B29" s="160" t="s">
        <v>167</v>
      </c>
      <c r="C29" s="141" t="str">
        <f t="shared" ref="C29" si="4">A7</f>
        <v>2:1/5%</v>
      </c>
      <c r="D29" s="142">
        <v>5</v>
      </c>
      <c r="E29" s="86">
        <v>-1.11E-2</v>
      </c>
      <c r="F29" s="64">
        <v>4.4800000000000004</v>
      </c>
      <c r="G29" s="131">
        <f t="shared" ref="G29" si="5">E29-((B7-1)*100)</f>
        <v>-7.5769999999988902E-2</v>
      </c>
      <c r="H29" s="131">
        <f t="shared" ref="H29" si="6">F29+C7</f>
        <v>6.1030000000000006</v>
      </c>
      <c r="I29" s="132">
        <f t="shared" ref="I29:I30" si="7">1-(G29/100)</f>
        <v>1.0007576999999999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6.1030000000000006</v>
      </c>
      <c r="P29" s="21">
        <f t="shared" si="3"/>
        <v>1.0007576999999999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45967</v>
      </c>
      <c r="B30" s="160" t="s">
        <v>167</v>
      </c>
      <c r="C30" s="141" t="str">
        <f>A9</f>
        <v>2:1/20%</v>
      </c>
      <c r="D30" s="142">
        <v>5</v>
      </c>
      <c r="E30" s="86">
        <v>-0.11</v>
      </c>
      <c r="F30" s="64">
        <v>2.61</v>
      </c>
      <c r="G30" s="131">
        <f>E30-((B9-1)*100)</f>
        <v>-0.16100000000000103</v>
      </c>
      <c r="H30" s="131">
        <f>F30+C9</f>
        <v>3.44</v>
      </c>
      <c r="I30" s="132">
        <f t="shared" si="7"/>
        <v>1.0016100000000001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3.44</v>
      </c>
      <c r="R30" s="21">
        <f>IFERROR(VLOOKUP($A$9,C30:I30,7,0),IFERROR(VLOOKUP($A$12,C30:I30,7,0),IFERROR(VLOOKUP($A$14,C30:I30,7,0),0)))</f>
        <v>1.0016100000000001</v>
      </c>
    </row>
    <row r="31" spans="1:21" s="10" customFormat="1" ht="13.9" customHeight="1" x14ac:dyDescent="0.25">
      <c r="A31" s="161">
        <v>45967</v>
      </c>
      <c r="B31" s="160" t="s">
        <v>167</v>
      </c>
      <c r="C31" s="141" t="str">
        <f>A12</f>
        <v>2:1/100%</v>
      </c>
      <c r="D31" s="142">
        <v>5</v>
      </c>
      <c r="E31" s="86">
        <v>-6.8000000000000005E-2</v>
      </c>
      <c r="F31" s="64">
        <v>0.4</v>
      </c>
      <c r="G31" s="131">
        <f>E31-((B12-1)*100)</f>
        <v>-0.1100000000000087</v>
      </c>
      <c r="H31" s="131">
        <f>F31+C12</f>
        <v>1.08</v>
      </c>
      <c r="I31" s="132">
        <f>1-(G31/100)</f>
        <v>1.0011000000000001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1.08</v>
      </c>
      <c r="R31" s="21">
        <f t="shared" ref="R31:R41" si="10">IFERROR(VLOOKUP($A$9,C31:I31,7,0),IFERROR(VLOOKUP($A$12,C31:I31,7,0),IFERROR(VLOOKUP($A$14,C31:I31,7,0),0)))</f>
        <v>1.0011000000000001</v>
      </c>
    </row>
    <row r="32" spans="1:21" s="10" customFormat="1" ht="13.9" customHeight="1" thickBot="1" x14ac:dyDescent="0.3">
      <c r="A32" s="165">
        <v>45967</v>
      </c>
      <c r="B32" s="166" t="s">
        <v>167</v>
      </c>
      <c r="C32" s="143" t="str">
        <f>A13</f>
        <v>2:1/120%</v>
      </c>
      <c r="D32" s="144">
        <v>5</v>
      </c>
      <c r="E32" s="126">
        <v>-6.0999999999999999E-2</v>
      </c>
      <c r="F32" s="127">
        <v>0.28000000000000003</v>
      </c>
      <c r="G32" s="133">
        <f>E32-((B13-1)*100)</f>
        <v>-0.10399999999999304</v>
      </c>
      <c r="H32" s="133">
        <f>F32+C13</f>
        <v>0.95300000000000007</v>
      </c>
      <c r="I32" s="134">
        <f t="shared" ref="I32" si="11">1-(G32/100)</f>
        <v>1.0010399999999999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0.95300000000000007</v>
      </c>
      <c r="R32" s="148">
        <f>I32</f>
        <v>1.0010399999999999</v>
      </c>
    </row>
    <row r="33" spans="1:21" s="10" customFormat="1" ht="13.9" customHeight="1" thickTop="1" x14ac:dyDescent="0.25">
      <c r="A33" s="164">
        <v>45967</v>
      </c>
      <c r="B33" s="123" t="s">
        <v>168</v>
      </c>
      <c r="C33" s="145" t="str">
        <f>A6</f>
        <v>2:1/1%</v>
      </c>
      <c r="D33" s="145">
        <v>5</v>
      </c>
      <c r="E33" s="124">
        <v>-3.9E-2</v>
      </c>
      <c r="F33" s="125">
        <v>3.2</v>
      </c>
      <c r="G33" s="135">
        <f>E33-((B6-1)*100)</f>
        <v>-0.12667000000000636</v>
      </c>
      <c r="H33" s="135">
        <f>F33+C6</f>
        <v>6.867</v>
      </c>
      <c r="I33" s="136">
        <f>1-(G33/100)</f>
        <v>1.0012667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6.867</v>
      </c>
      <c r="N33" s="21">
        <f t="shared" si="1"/>
        <v>1.0012667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45967</v>
      </c>
      <c r="B34" s="160" t="s">
        <v>168</v>
      </c>
      <c r="C34" s="142" t="str">
        <f>A7</f>
        <v>2:1/5%</v>
      </c>
      <c r="D34" s="142">
        <v>5</v>
      </c>
      <c r="E34" s="86">
        <v>-6.0999999999999999E-2</v>
      </c>
      <c r="F34" s="64">
        <v>4.5999999999999996</v>
      </c>
      <c r="G34" s="131">
        <f>E34-((B7-1)*100)</f>
        <v>-0.1256699999999889</v>
      </c>
      <c r="H34" s="131">
        <f>F34+C7</f>
        <v>6.2229999999999999</v>
      </c>
      <c r="I34" s="132">
        <f t="shared" ref="I34:I35" si="12">1-(G34/100)</f>
        <v>1.0012566999999999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6.2229999999999999</v>
      </c>
      <c r="P34" s="21">
        <f t="shared" si="3"/>
        <v>1.0012566999999999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45967</v>
      </c>
      <c r="B35" s="160" t="s">
        <v>168</v>
      </c>
      <c r="C35" s="142" t="str">
        <f>A9</f>
        <v>2:1/20%</v>
      </c>
      <c r="D35" s="142">
        <v>5</v>
      </c>
      <c r="E35" s="86">
        <v>-8.7999999999999995E-2</v>
      </c>
      <c r="F35" s="64">
        <v>3.93</v>
      </c>
      <c r="G35" s="131">
        <f>E35-((B9-1)*100)</f>
        <v>-0.13900000000000104</v>
      </c>
      <c r="H35" s="131">
        <f>F35+C9</f>
        <v>4.76</v>
      </c>
      <c r="I35" s="132">
        <f t="shared" si="12"/>
        <v>1.00139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4.76</v>
      </c>
      <c r="R35" s="21">
        <f t="shared" si="10"/>
        <v>1.00139</v>
      </c>
    </row>
    <row r="36" spans="1:21" s="10" customFormat="1" ht="13.9" customHeight="1" x14ac:dyDescent="0.25">
      <c r="A36" s="161">
        <v>45967</v>
      </c>
      <c r="B36" s="160" t="s">
        <v>168</v>
      </c>
      <c r="C36" s="142" t="str">
        <f>A12</f>
        <v>2:1/100%</v>
      </c>
      <c r="D36" s="142">
        <v>5</v>
      </c>
      <c r="E36" s="86">
        <v>-7.3999999999999996E-2</v>
      </c>
      <c r="F36" s="64">
        <v>1.19</v>
      </c>
      <c r="G36" s="131">
        <f>E36-((B12-1)*100)</f>
        <v>-0.11600000000000869</v>
      </c>
      <c r="H36" s="131">
        <f>F36+C12</f>
        <v>1.87</v>
      </c>
      <c r="I36" s="132">
        <f>1-(G36/100)</f>
        <v>1.00116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1.87</v>
      </c>
      <c r="R36" s="21">
        <f t="shared" si="10"/>
        <v>1.00116</v>
      </c>
    </row>
    <row r="37" spans="1:21" s="10" customFormat="1" ht="13.9" customHeight="1" thickBot="1" x14ac:dyDescent="0.3">
      <c r="A37" s="165">
        <v>45967</v>
      </c>
      <c r="B37" s="166" t="s">
        <v>168</v>
      </c>
      <c r="C37" s="144" t="str">
        <f>A13</f>
        <v>2:1/120%</v>
      </c>
      <c r="D37" s="144">
        <v>5</v>
      </c>
      <c r="E37" s="126">
        <v>-6.8000000000000005E-2</v>
      </c>
      <c r="F37" s="127">
        <v>0.67</v>
      </c>
      <c r="G37" s="133">
        <f>E37-((B13-1)*100)</f>
        <v>-0.11099999999999305</v>
      </c>
      <c r="H37" s="133">
        <f>F37+C13</f>
        <v>1.343</v>
      </c>
      <c r="I37" s="134">
        <f t="shared" ref="I37" si="13">1-(G37/100)</f>
        <v>1.0011099999999999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1.343</v>
      </c>
      <c r="R37" s="148">
        <f>I37</f>
        <v>1.0011099999999999</v>
      </c>
    </row>
    <row r="38" spans="1:21" s="10" customFormat="1" ht="13.9" customHeight="1" thickTop="1" x14ac:dyDescent="0.25">
      <c r="A38" s="164">
        <v>45967</v>
      </c>
      <c r="B38" s="123" t="s">
        <v>169</v>
      </c>
      <c r="C38" s="145" t="str">
        <f>A6</f>
        <v>2:1/1%</v>
      </c>
      <c r="D38" s="145">
        <v>5</v>
      </c>
      <c r="E38" s="124">
        <v>-9.1999999999999998E-2</v>
      </c>
      <c r="F38" s="125">
        <v>7.73</v>
      </c>
      <c r="G38" s="135">
        <f>E38-((B6-1)*100)</f>
        <v>-0.17967000000000635</v>
      </c>
      <c r="H38" s="135">
        <f>F38+C6</f>
        <v>11.397</v>
      </c>
      <c r="I38" s="136">
        <f>1-(G38/100)</f>
        <v>1.0017967000000001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11.397</v>
      </c>
      <c r="N38" s="21">
        <f t="shared" si="1"/>
        <v>1.0017967000000001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45967</v>
      </c>
      <c r="B39" s="160" t="s">
        <v>169</v>
      </c>
      <c r="C39" s="142" t="str">
        <f>A7</f>
        <v>2:1/5%</v>
      </c>
      <c r="D39" s="142">
        <v>5</v>
      </c>
      <c r="E39" s="86">
        <v>-8.7999999999999995E-2</v>
      </c>
      <c r="F39" s="64">
        <v>7.87</v>
      </c>
      <c r="G39" s="131">
        <f>E39-((B7-1)*100)</f>
        <v>-0.1526699999999889</v>
      </c>
      <c r="H39" s="131">
        <f>F39+C7</f>
        <v>9.4930000000000003</v>
      </c>
      <c r="I39" s="132">
        <f t="shared" ref="I39:I40" si="14">1-(G39/100)</f>
        <v>1.0015266999999999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9.4930000000000003</v>
      </c>
      <c r="P39" s="21">
        <f t="shared" si="3"/>
        <v>1.0015266999999999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45967</v>
      </c>
      <c r="B40" s="160" t="s">
        <v>169</v>
      </c>
      <c r="C40" s="142" t="str">
        <f>A9</f>
        <v>2:1/20%</v>
      </c>
      <c r="D40" s="142">
        <v>5</v>
      </c>
      <c r="E40" s="86">
        <v>-0.121</v>
      </c>
      <c r="F40" s="64">
        <v>4.6100000000000003</v>
      </c>
      <c r="G40" s="131">
        <f>E40-((B9-1)*100)</f>
        <v>-0.17200000000000104</v>
      </c>
      <c r="H40" s="131">
        <f>F40+C9</f>
        <v>5.44</v>
      </c>
      <c r="I40" s="132">
        <f t="shared" si="14"/>
        <v>1.0017199999999999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5.44</v>
      </c>
      <c r="R40" s="21">
        <f t="shared" si="10"/>
        <v>1.0017199999999999</v>
      </c>
    </row>
    <row r="41" spans="1:21" s="10" customFormat="1" ht="13.9" customHeight="1" x14ac:dyDescent="0.25">
      <c r="A41" s="161">
        <v>45967</v>
      </c>
      <c r="B41" s="160" t="s">
        <v>169</v>
      </c>
      <c r="C41" s="142" t="str">
        <f>A12</f>
        <v>2:1/100%</v>
      </c>
      <c r="D41" s="142">
        <v>5</v>
      </c>
      <c r="E41" s="86">
        <v>7.9000000000000001E-2</v>
      </c>
      <c r="F41" s="64">
        <v>1.59</v>
      </c>
      <c r="G41" s="131">
        <f>E41-((B12-1)*100)</f>
        <v>3.6999999999991304E-2</v>
      </c>
      <c r="H41" s="131">
        <f>F41+C12</f>
        <v>2.27</v>
      </c>
      <c r="I41" s="132">
        <f>1-(G41/100)</f>
        <v>0.99963000000000013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2.27</v>
      </c>
      <c r="R41" s="21">
        <f t="shared" si="10"/>
        <v>0.99963000000000013</v>
      </c>
    </row>
    <row r="42" spans="1:21" s="10" customFormat="1" ht="13.9" customHeight="1" thickBot="1" x14ac:dyDescent="0.3">
      <c r="A42" s="162">
        <v>45967</v>
      </c>
      <c r="B42" s="163" t="s">
        <v>169</v>
      </c>
      <c r="C42" s="146" t="str">
        <f>A13</f>
        <v>2:1/120%</v>
      </c>
      <c r="D42" s="146">
        <v>5</v>
      </c>
      <c r="E42" s="87">
        <v>-7.8E-2</v>
      </c>
      <c r="F42" s="85">
        <v>2.1</v>
      </c>
      <c r="G42" s="137">
        <f>E42-((B13-1)*100)</f>
        <v>-0.12099999999999304</v>
      </c>
      <c r="H42" s="137">
        <f>F42+C13</f>
        <v>2.7730000000000001</v>
      </c>
      <c r="I42" s="138">
        <f t="shared" ref="I42" si="16">1-(G42/100)</f>
        <v>1.0012099999999999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2.7730000000000001</v>
      </c>
      <c r="R42" s="148">
        <f>I42</f>
        <v>1.0012099999999999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6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149A-6BA8-4C37-8A17-57D249C95F45}">
  <dimension ref="A1:U43"/>
  <sheetViews>
    <sheetView showGridLines="0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24.7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43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45964</v>
      </c>
      <c r="B28" s="159" t="s">
        <v>170</v>
      </c>
      <c r="C28" s="139" t="str">
        <f>A6</f>
        <v>2:1/1%</v>
      </c>
      <c r="D28" s="140">
        <v>5</v>
      </c>
      <c r="E28" s="96">
        <v>-6.4000000000000001E-2</v>
      </c>
      <c r="F28" s="97">
        <v>4.28</v>
      </c>
      <c r="G28" s="129">
        <f>E28-((B6-1)*100)</f>
        <v>-0.15167000000000636</v>
      </c>
      <c r="H28" s="129">
        <f>F28+C6</f>
        <v>7.9470000000000001</v>
      </c>
      <c r="I28" s="130">
        <f>1-(G28/100)</f>
        <v>1.0015167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7.9470000000000001</v>
      </c>
      <c r="N28" s="21">
        <f t="shared" ref="N28:N42" si="1">IFERROR(VLOOKUP($A$6,C28:I28,7,0),0)</f>
        <v>1.0015167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45964</v>
      </c>
      <c r="B29" s="160" t="s">
        <v>170</v>
      </c>
      <c r="C29" s="141" t="str">
        <f t="shared" ref="C29" si="4">A7</f>
        <v>2:1/5%</v>
      </c>
      <c r="D29" s="142">
        <v>5</v>
      </c>
      <c r="E29" s="86">
        <v>-9.5000000000000001E-2</v>
      </c>
      <c r="F29" s="64">
        <v>5.96</v>
      </c>
      <c r="G29" s="131">
        <f t="shared" ref="G29" si="5">E29-((B7-1)*100)</f>
        <v>-0.1596699999999889</v>
      </c>
      <c r="H29" s="131">
        <f t="shared" ref="H29" si="6">F29+C7</f>
        <v>7.5830000000000002</v>
      </c>
      <c r="I29" s="132">
        <f t="shared" ref="I29:I30" si="7">1-(G29/100)</f>
        <v>1.0015966999999999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7.5830000000000002</v>
      </c>
      <c r="P29" s="21">
        <f t="shared" si="3"/>
        <v>1.0015966999999999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45964</v>
      </c>
      <c r="B30" s="160" t="s">
        <v>170</v>
      </c>
      <c r="C30" s="141" t="str">
        <f>A9</f>
        <v>2:1/20%</v>
      </c>
      <c r="D30" s="142">
        <v>5</v>
      </c>
      <c r="E30" s="86">
        <v>-0.11799999999999999</v>
      </c>
      <c r="F30" s="64">
        <v>3.8</v>
      </c>
      <c r="G30" s="131">
        <f>E30-((B9-1)*100)</f>
        <v>-0.16900000000000104</v>
      </c>
      <c r="H30" s="131">
        <f>F30+C9</f>
        <v>4.63</v>
      </c>
      <c r="I30" s="132">
        <f t="shared" si="7"/>
        <v>1.00169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4.63</v>
      </c>
      <c r="R30" s="21">
        <f>IFERROR(VLOOKUP($A$9,C30:I30,7,0),IFERROR(VLOOKUP($A$12,C30:I30,7,0),IFERROR(VLOOKUP($A$14,C30:I30,7,0),0)))</f>
        <v>1.00169</v>
      </c>
    </row>
    <row r="31" spans="1:21" s="10" customFormat="1" ht="13.9" customHeight="1" x14ac:dyDescent="0.25">
      <c r="A31" s="161">
        <v>45964</v>
      </c>
      <c r="B31" s="160" t="s">
        <v>170</v>
      </c>
      <c r="C31" s="141" t="str">
        <f>A12</f>
        <v>2:1/100%</v>
      </c>
      <c r="D31" s="142">
        <v>5</v>
      </c>
      <c r="E31" s="86">
        <v>-7.9000000000000001E-2</v>
      </c>
      <c r="F31" s="64">
        <v>1</v>
      </c>
      <c r="G31" s="131">
        <f>E31-((B12-1)*100)</f>
        <v>-0.1210000000000087</v>
      </c>
      <c r="H31" s="131">
        <f>F31+C12</f>
        <v>1.6800000000000002</v>
      </c>
      <c r="I31" s="132">
        <f>1-(G31/100)</f>
        <v>1.0012100000000002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1.6800000000000002</v>
      </c>
      <c r="R31" s="21">
        <f t="shared" ref="R31:R41" si="10">IFERROR(VLOOKUP($A$9,C31:I31,7,0),IFERROR(VLOOKUP($A$12,C31:I31,7,0),IFERROR(VLOOKUP($A$14,C31:I31,7,0),0)))</f>
        <v>1.0012100000000002</v>
      </c>
    </row>
    <row r="32" spans="1:21" s="10" customFormat="1" ht="13.9" customHeight="1" thickBot="1" x14ac:dyDescent="0.3">
      <c r="A32" s="165">
        <v>45964</v>
      </c>
      <c r="B32" s="166" t="s">
        <v>170</v>
      </c>
      <c r="C32" s="143" t="str">
        <f>A13</f>
        <v>2:1/120%</v>
      </c>
      <c r="D32" s="144">
        <v>5</v>
      </c>
      <c r="E32" s="126">
        <v>-0.08</v>
      </c>
      <c r="F32" s="127">
        <v>1.61</v>
      </c>
      <c r="G32" s="133">
        <f>E32-((B13-1)*100)</f>
        <v>-0.12299999999999305</v>
      </c>
      <c r="H32" s="133">
        <f>F32+C13</f>
        <v>2.2830000000000004</v>
      </c>
      <c r="I32" s="134">
        <f t="shared" ref="I32" si="11">1-(G32/100)</f>
        <v>1.0012299999999998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2.2830000000000004</v>
      </c>
      <c r="R32" s="148">
        <f>I32</f>
        <v>1.0012299999999998</v>
      </c>
    </row>
    <row r="33" spans="1:21" s="10" customFormat="1" ht="13.9" customHeight="1" thickTop="1" x14ac:dyDescent="0.25">
      <c r="A33" s="164">
        <v>45964</v>
      </c>
      <c r="B33" s="123" t="s">
        <v>171</v>
      </c>
      <c r="C33" s="145" t="str">
        <f>A6</f>
        <v>2:1/1%</v>
      </c>
      <c r="D33" s="145">
        <v>5</v>
      </c>
      <c r="E33" s="124">
        <v>-0.10299999999999999</v>
      </c>
      <c r="F33" s="125">
        <v>11.44</v>
      </c>
      <c r="G33" s="135">
        <f>E33-((B6-1)*100)</f>
        <v>-0.19067000000000633</v>
      </c>
      <c r="H33" s="135">
        <f>F33+C6</f>
        <v>15.106999999999999</v>
      </c>
      <c r="I33" s="136">
        <f>1-(G33/100)</f>
        <v>1.0019067000000001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15.106999999999999</v>
      </c>
      <c r="N33" s="21">
        <f t="shared" si="1"/>
        <v>1.0019067000000001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45964</v>
      </c>
      <c r="B34" s="160" t="s">
        <v>171</v>
      </c>
      <c r="C34" s="142" t="str">
        <f>A7</f>
        <v>2:1/5%</v>
      </c>
      <c r="D34" s="142">
        <v>5</v>
      </c>
      <c r="E34" s="86">
        <v>-0.12520000000000001</v>
      </c>
      <c r="F34" s="64">
        <v>9.44</v>
      </c>
      <c r="G34" s="131">
        <f>E34-((B7-1)*100)</f>
        <v>-0.18986999999998891</v>
      </c>
      <c r="H34" s="131">
        <f>F34+C7</f>
        <v>11.062999999999999</v>
      </c>
      <c r="I34" s="132">
        <f t="shared" ref="I34:I35" si="12">1-(G34/100)</f>
        <v>1.0018986999999999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11.062999999999999</v>
      </c>
      <c r="P34" s="21">
        <f t="shared" si="3"/>
        <v>1.0018986999999999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45964</v>
      </c>
      <c r="B35" s="160" t="s">
        <v>171</v>
      </c>
      <c r="C35" s="142" t="str">
        <f>A9</f>
        <v>2:1/20%</v>
      </c>
      <c r="D35" s="142">
        <v>5</v>
      </c>
      <c r="E35" s="86">
        <v>-0.14699999999999999</v>
      </c>
      <c r="F35" s="64">
        <v>6.16</v>
      </c>
      <c r="G35" s="131">
        <f>E35-((B9-1)*100)</f>
        <v>-0.19800000000000104</v>
      </c>
      <c r="H35" s="131">
        <f>F35+C9</f>
        <v>6.99</v>
      </c>
      <c r="I35" s="132">
        <f t="shared" si="12"/>
        <v>1.0019800000000001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6.99</v>
      </c>
      <c r="R35" s="21">
        <f t="shared" si="10"/>
        <v>1.0019800000000001</v>
      </c>
    </row>
    <row r="36" spans="1:21" s="10" customFormat="1" ht="13.9" customHeight="1" x14ac:dyDescent="0.25">
      <c r="A36" s="161">
        <v>45964</v>
      </c>
      <c r="B36" s="160" t="s">
        <v>171</v>
      </c>
      <c r="C36" s="142" t="str">
        <f>A12</f>
        <v>2:1/100%</v>
      </c>
      <c r="D36" s="142">
        <v>5</v>
      </c>
      <c r="E36" s="86">
        <v>-0.107</v>
      </c>
      <c r="F36" s="64">
        <v>2.87</v>
      </c>
      <c r="G36" s="131">
        <f>E36-((B12-1)*100)</f>
        <v>-0.14900000000000868</v>
      </c>
      <c r="H36" s="131">
        <f>F36+C12</f>
        <v>3.5500000000000003</v>
      </c>
      <c r="I36" s="132">
        <f>1-(G36/100)</f>
        <v>1.00149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3.5500000000000003</v>
      </c>
      <c r="R36" s="21">
        <f t="shared" si="10"/>
        <v>1.00149</v>
      </c>
    </row>
    <row r="37" spans="1:21" s="10" customFormat="1" ht="13.9" customHeight="1" thickBot="1" x14ac:dyDescent="0.3">
      <c r="A37" s="165">
        <v>45964</v>
      </c>
      <c r="B37" s="166" t="s">
        <v>171</v>
      </c>
      <c r="C37" s="144" t="str">
        <f>A13</f>
        <v>2:1/120%</v>
      </c>
      <c r="D37" s="144">
        <v>5</v>
      </c>
      <c r="E37" s="126">
        <v>-0.13</v>
      </c>
      <c r="F37" s="127">
        <v>2.42</v>
      </c>
      <c r="G37" s="133">
        <f>E37-((B13-1)*100)</f>
        <v>-0.17299999999999305</v>
      </c>
      <c r="H37" s="133">
        <f>F37+C13</f>
        <v>3.093</v>
      </c>
      <c r="I37" s="134">
        <f t="shared" ref="I37" si="13">1-(G37/100)</f>
        <v>1.00173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3.093</v>
      </c>
      <c r="R37" s="148">
        <f>I37</f>
        <v>1.00173</v>
      </c>
    </row>
    <row r="38" spans="1:21" s="10" customFormat="1" ht="13.9" customHeight="1" thickTop="1" x14ac:dyDescent="0.25">
      <c r="A38" s="164">
        <v>45964</v>
      </c>
      <c r="B38" s="123" t="s">
        <v>172</v>
      </c>
      <c r="C38" s="145" t="str">
        <f>A6</f>
        <v>2:1/1%</v>
      </c>
      <c r="D38" s="145">
        <v>5</v>
      </c>
      <c r="E38" s="124">
        <v>-9.9000000000000005E-2</v>
      </c>
      <c r="F38" s="125">
        <v>8.7899999999999991</v>
      </c>
      <c r="G38" s="135">
        <f>E38-((B6-1)*100)</f>
        <v>-0.18667000000000636</v>
      </c>
      <c r="H38" s="135">
        <f>F38+C6</f>
        <v>12.456999999999999</v>
      </c>
      <c r="I38" s="136">
        <f>1-(G38/100)</f>
        <v>1.0018667000000001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12.456999999999999</v>
      </c>
      <c r="N38" s="21">
        <f t="shared" si="1"/>
        <v>1.0018667000000001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45964</v>
      </c>
      <c r="B39" s="160" t="s">
        <v>172</v>
      </c>
      <c r="C39" s="142" t="str">
        <f>A7</f>
        <v>2:1/5%</v>
      </c>
      <c r="D39" s="142">
        <v>5</v>
      </c>
      <c r="E39" s="86">
        <v>-0.113</v>
      </c>
      <c r="F39" s="64">
        <v>8.2799999999999994</v>
      </c>
      <c r="G39" s="131">
        <f>E39-((B7-1)*100)</f>
        <v>-0.17766999999998889</v>
      </c>
      <c r="H39" s="131">
        <f>F39+C7</f>
        <v>9.9029999999999987</v>
      </c>
      <c r="I39" s="132">
        <f t="shared" ref="I39:I40" si="14">1-(G39/100)</f>
        <v>1.0017767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9.9029999999999987</v>
      </c>
      <c r="P39" s="21">
        <f t="shared" si="3"/>
        <v>1.0017767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45964</v>
      </c>
      <c r="B40" s="160" t="s">
        <v>172</v>
      </c>
      <c r="C40" s="142" t="str">
        <f>A9</f>
        <v>2:1/20%</v>
      </c>
      <c r="D40" s="142">
        <v>5</v>
      </c>
      <c r="E40" s="86">
        <v>-0.13500000000000001</v>
      </c>
      <c r="F40" s="64">
        <v>4.7300000000000004</v>
      </c>
      <c r="G40" s="131">
        <f>E40-((B9-1)*100)</f>
        <v>-0.18600000000000105</v>
      </c>
      <c r="H40" s="131">
        <f>F40+C9</f>
        <v>5.5600000000000005</v>
      </c>
      <c r="I40" s="132">
        <f t="shared" si="14"/>
        <v>1.00186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5.5600000000000005</v>
      </c>
      <c r="R40" s="21">
        <f t="shared" si="10"/>
        <v>1.00186</v>
      </c>
    </row>
    <row r="41" spans="1:21" s="10" customFormat="1" ht="13.9" customHeight="1" x14ac:dyDescent="0.25">
      <c r="A41" s="161">
        <v>45964</v>
      </c>
      <c r="B41" s="160" t="s">
        <v>172</v>
      </c>
      <c r="C41" s="142" t="str">
        <f>A12</f>
        <v>2:1/100%</v>
      </c>
      <c r="D41" s="142">
        <v>5</v>
      </c>
      <c r="E41" s="86">
        <v>-9.7000000000000003E-2</v>
      </c>
      <c r="F41" s="64">
        <v>2.4300000000000002</v>
      </c>
      <c r="G41" s="131">
        <f>E41-((B12-1)*100)</f>
        <v>-0.1390000000000087</v>
      </c>
      <c r="H41" s="131">
        <f>F41+C12</f>
        <v>3.1100000000000003</v>
      </c>
      <c r="I41" s="132">
        <f>1-(G41/100)</f>
        <v>1.00139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3.1100000000000003</v>
      </c>
      <c r="R41" s="21">
        <f t="shared" si="10"/>
        <v>1.00139</v>
      </c>
    </row>
    <row r="42" spans="1:21" s="10" customFormat="1" ht="13.9" customHeight="1" thickBot="1" x14ac:dyDescent="0.3">
      <c r="A42" s="162">
        <v>45964</v>
      </c>
      <c r="B42" s="163" t="s">
        <v>172</v>
      </c>
      <c r="C42" s="146" t="str">
        <f>A13</f>
        <v>2:1/120%</v>
      </c>
      <c r="D42" s="146">
        <v>5</v>
      </c>
      <c r="E42" s="87">
        <v>-0.104</v>
      </c>
      <c r="F42" s="85">
        <v>3.36</v>
      </c>
      <c r="G42" s="137">
        <f>E42-((B13-1)*100)</f>
        <v>-0.14699999999999303</v>
      </c>
      <c r="H42" s="137">
        <f>F42+C13</f>
        <v>4.0329999999999995</v>
      </c>
      <c r="I42" s="138">
        <f t="shared" ref="I42" si="16">1-(G42/100)</f>
        <v>1.0014699999999999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4.0329999999999995</v>
      </c>
      <c r="R42" s="148">
        <f>I42</f>
        <v>1.0014699999999999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5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0B4A-49C6-43B5-BAAF-2E66D9AF9869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24.7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42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45964</v>
      </c>
      <c r="B28" s="159" t="s">
        <v>173</v>
      </c>
      <c r="C28" s="139" t="str">
        <f>A6</f>
        <v>2:1/1%</v>
      </c>
      <c r="D28" s="140">
        <v>5</v>
      </c>
      <c r="E28" s="96">
        <v>-7.2999999999999995E-2</v>
      </c>
      <c r="F28" s="97">
        <v>3.83</v>
      </c>
      <c r="G28" s="129">
        <f>E28-((B6-1)*100)</f>
        <v>-0.16067000000000636</v>
      </c>
      <c r="H28" s="129">
        <f>F28+C6</f>
        <v>7.4969999999999999</v>
      </c>
      <c r="I28" s="130">
        <f>1-(G28/100)</f>
        <v>1.0016067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7.4969999999999999</v>
      </c>
      <c r="N28" s="21">
        <f t="shared" ref="N28:N42" si="1">IFERROR(VLOOKUP($A$6,C28:I28,7,0),0)</f>
        <v>1.0016067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45964</v>
      </c>
      <c r="B29" s="160" t="s">
        <v>173</v>
      </c>
      <c r="C29" s="141" t="str">
        <f t="shared" ref="C29" si="4">A7</f>
        <v>2:1/5%</v>
      </c>
      <c r="D29" s="142">
        <v>5</v>
      </c>
      <c r="E29" s="86">
        <v>-8.6999999999999994E-2</v>
      </c>
      <c r="F29" s="64">
        <v>4.8899999999999997</v>
      </c>
      <c r="G29" s="131">
        <f t="shared" ref="G29" si="5">E29-((B7-1)*100)</f>
        <v>-0.1516699999999889</v>
      </c>
      <c r="H29" s="131">
        <f t="shared" ref="H29" si="6">F29+C7</f>
        <v>6.5129999999999999</v>
      </c>
      <c r="I29" s="132">
        <f t="shared" ref="I29:I30" si="7">1-(G29/100)</f>
        <v>1.0015166999999998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6.5129999999999999</v>
      </c>
      <c r="P29" s="21">
        <f t="shared" si="3"/>
        <v>1.0015166999999998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45964</v>
      </c>
      <c r="B30" s="160" t="s">
        <v>173</v>
      </c>
      <c r="C30" s="141" t="str">
        <f>A9</f>
        <v>2:1/20%</v>
      </c>
      <c r="D30" s="142">
        <v>5</v>
      </c>
      <c r="E30" s="86">
        <v>-0.104</v>
      </c>
      <c r="F30" s="64">
        <v>3.04</v>
      </c>
      <c r="G30" s="131">
        <f>E30-((B9-1)*100)</f>
        <v>-0.15500000000000103</v>
      </c>
      <c r="H30" s="131">
        <f>F30+C9</f>
        <v>3.87</v>
      </c>
      <c r="I30" s="132">
        <f t="shared" si="7"/>
        <v>1.0015499999999999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3.87</v>
      </c>
      <c r="R30" s="21">
        <f>IFERROR(VLOOKUP($A$9,C30:I30,7,0),IFERROR(VLOOKUP($A$12,C30:I30,7,0),IFERROR(VLOOKUP($A$14,C30:I30,7,0),0)))</f>
        <v>1.0015499999999999</v>
      </c>
    </row>
    <row r="31" spans="1:21" s="10" customFormat="1" ht="13.9" customHeight="1" x14ac:dyDescent="0.25">
      <c r="A31" s="161">
        <v>45964</v>
      </c>
      <c r="B31" s="160" t="s">
        <v>173</v>
      </c>
      <c r="C31" s="141" t="str">
        <f>A12</f>
        <v>2:1/100%</v>
      </c>
      <c r="D31" s="142">
        <v>5</v>
      </c>
      <c r="E31" s="86">
        <v>-6.5000000000000002E-2</v>
      </c>
      <c r="F31" s="64">
        <v>0.62</v>
      </c>
      <c r="G31" s="131">
        <f>E31-((B12-1)*100)</f>
        <v>-0.1070000000000087</v>
      </c>
      <c r="H31" s="131">
        <f>F31+C12</f>
        <v>1.3</v>
      </c>
      <c r="I31" s="132">
        <f>1-(G31/100)</f>
        <v>1.0010700000000001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1.3</v>
      </c>
      <c r="R31" s="21">
        <f t="shared" ref="R31:R41" si="10">IFERROR(VLOOKUP($A$9,C31:I31,7,0),IFERROR(VLOOKUP($A$12,C31:I31,7,0),IFERROR(VLOOKUP($A$14,C31:I31,7,0),0)))</f>
        <v>1.0010700000000001</v>
      </c>
    </row>
    <row r="32" spans="1:21" s="10" customFormat="1" ht="13.9" customHeight="1" thickBot="1" x14ac:dyDescent="0.3">
      <c r="A32" s="165">
        <v>45964</v>
      </c>
      <c r="B32" s="166" t="s">
        <v>173</v>
      </c>
      <c r="C32" s="143" t="str">
        <f>A13</f>
        <v>2:1/120%</v>
      </c>
      <c r="D32" s="144">
        <v>5</v>
      </c>
      <c r="E32" s="126">
        <v>-6.0999999999999999E-2</v>
      </c>
      <c r="F32" s="127">
        <v>0.54</v>
      </c>
      <c r="G32" s="133">
        <f>E32-((B13-1)*100)</f>
        <v>-0.10399999999999304</v>
      </c>
      <c r="H32" s="133">
        <f>F32+C13</f>
        <v>1.2130000000000001</v>
      </c>
      <c r="I32" s="134">
        <f t="shared" ref="I32" si="11">1-(G32/100)</f>
        <v>1.0010399999999999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1.2130000000000001</v>
      </c>
      <c r="R32" s="148">
        <f>I32</f>
        <v>1.0010399999999999</v>
      </c>
    </row>
    <row r="33" spans="1:21" s="10" customFormat="1" ht="13.9" customHeight="1" thickTop="1" x14ac:dyDescent="0.25">
      <c r="A33" s="164">
        <v>45964</v>
      </c>
      <c r="B33" s="123" t="s">
        <v>174</v>
      </c>
      <c r="C33" s="145" t="str">
        <f>A6</f>
        <v>2:1/1%</v>
      </c>
      <c r="D33" s="145">
        <v>5</v>
      </c>
      <c r="E33" s="124">
        <v>-7.8E-2</v>
      </c>
      <c r="F33" s="125">
        <v>-1.24</v>
      </c>
      <c r="G33" s="135">
        <f>E33-((B6-1)*100)</f>
        <v>-0.16567000000000637</v>
      </c>
      <c r="H33" s="135">
        <f>F33+C6</f>
        <v>2.4269999999999996</v>
      </c>
      <c r="I33" s="136">
        <f>1-(G33/100)</f>
        <v>1.0016567000000001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2.4269999999999996</v>
      </c>
      <c r="N33" s="21">
        <f t="shared" si="1"/>
        <v>1.0016567000000001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45964</v>
      </c>
      <c r="B34" s="160" t="s">
        <v>174</v>
      </c>
      <c r="C34" s="142" t="str">
        <f>A7</f>
        <v>2:1/5%</v>
      </c>
      <c r="D34" s="142">
        <v>5</v>
      </c>
      <c r="E34" s="86">
        <v>-0.10100000000000001</v>
      </c>
      <c r="F34" s="64">
        <v>2.27</v>
      </c>
      <c r="G34" s="131">
        <f>E34-((B7-1)*100)</f>
        <v>-0.16566999999998891</v>
      </c>
      <c r="H34" s="131">
        <f>F34+C7</f>
        <v>3.8929999999999998</v>
      </c>
      <c r="I34" s="132">
        <f t="shared" ref="I34:I35" si="12">1-(G34/100)</f>
        <v>1.0016566999999998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3.8929999999999998</v>
      </c>
      <c r="P34" s="21">
        <f t="shared" si="3"/>
        <v>1.0016566999999998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45964</v>
      </c>
      <c r="B35" s="160" t="s">
        <v>174</v>
      </c>
      <c r="C35" s="142" t="str">
        <f>A9</f>
        <v>2:1/20%</v>
      </c>
      <c r="D35" s="142">
        <v>5</v>
      </c>
      <c r="E35" s="86">
        <v>-0.11600000000000001</v>
      </c>
      <c r="F35" s="64">
        <v>1.84</v>
      </c>
      <c r="G35" s="131">
        <f>E35-((B9-1)*100)</f>
        <v>-0.16700000000000104</v>
      </c>
      <c r="H35" s="131">
        <f>F35+C9</f>
        <v>2.67</v>
      </c>
      <c r="I35" s="132">
        <f t="shared" si="12"/>
        <v>1.0016700000000001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2.67</v>
      </c>
      <c r="R35" s="21">
        <f t="shared" si="10"/>
        <v>1.0016700000000001</v>
      </c>
    </row>
    <row r="36" spans="1:21" s="10" customFormat="1" ht="13.9" customHeight="1" x14ac:dyDescent="0.25">
      <c r="A36" s="161">
        <v>45964</v>
      </c>
      <c r="B36" s="160" t="s">
        <v>174</v>
      </c>
      <c r="C36" s="142" t="str">
        <f>A12</f>
        <v>2:1/100%</v>
      </c>
      <c r="D36" s="142">
        <v>5</v>
      </c>
      <c r="E36" s="86">
        <v>-0.10299999999999999</v>
      </c>
      <c r="F36" s="64">
        <v>0.22</v>
      </c>
      <c r="G36" s="131">
        <f>E36-((B12-1)*100)</f>
        <v>-0.14500000000000868</v>
      </c>
      <c r="H36" s="131">
        <f>F36+C12</f>
        <v>0.9</v>
      </c>
      <c r="I36" s="132">
        <f>1-(G36/100)</f>
        <v>1.0014500000000002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0.9</v>
      </c>
      <c r="R36" s="21">
        <f t="shared" si="10"/>
        <v>1.0014500000000002</v>
      </c>
    </row>
    <row r="37" spans="1:21" s="10" customFormat="1" ht="13.9" customHeight="1" thickBot="1" x14ac:dyDescent="0.3">
      <c r="A37" s="165">
        <v>45964</v>
      </c>
      <c r="B37" s="166" t="s">
        <v>174</v>
      </c>
      <c r="C37" s="144" t="str">
        <f>A13</f>
        <v>2:1/120%</v>
      </c>
      <c r="D37" s="144">
        <v>5</v>
      </c>
      <c r="E37" s="126">
        <v>-9.7000000000000003E-2</v>
      </c>
      <c r="F37" s="127">
        <v>-0.05</v>
      </c>
      <c r="G37" s="133">
        <f>E37-((B13-1)*100)</f>
        <v>-0.13999999999999305</v>
      </c>
      <c r="H37" s="133">
        <f>F37+C13</f>
        <v>0.623</v>
      </c>
      <c r="I37" s="134">
        <f t="shared" ref="I37" si="13">1-(G37/100)</f>
        <v>1.0013999999999998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0.623</v>
      </c>
      <c r="R37" s="148">
        <f>I37</f>
        <v>1.0013999999999998</v>
      </c>
    </row>
    <row r="38" spans="1:21" s="10" customFormat="1" ht="13.9" customHeight="1" thickTop="1" x14ac:dyDescent="0.25">
      <c r="A38" s="164">
        <v>45964</v>
      </c>
      <c r="B38" s="123" t="s">
        <v>175</v>
      </c>
      <c r="C38" s="145" t="str">
        <f>A6</f>
        <v>2:1/1%</v>
      </c>
      <c r="D38" s="145">
        <v>5</v>
      </c>
      <c r="E38" s="124">
        <v>-9.8000000000000004E-2</v>
      </c>
      <c r="F38" s="125">
        <v>6.25</v>
      </c>
      <c r="G38" s="135">
        <f>E38-((B6-1)*100)</f>
        <v>-0.18567000000000636</v>
      </c>
      <c r="H38" s="135">
        <f>F38+C6</f>
        <v>9.9169999999999998</v>
      </c>
      <c r="I38" s="136">
        <f>1-(G38/100)</f>
        <v>1.0018567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9.9169999999999998</v>
      </c>
      <c r="N38" s="21">
        <f t="shared" si="1"/>
        <v>1.0018567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45964</v>
      </c>
      <c r="B39" s="160" t="s">
        <v>175</v>
      </c>
      <c r="C39" s="142" t="str">
        <f>A7</f>
        <v>2:1/5%</v>
      </c>
      <c r="D39" s="142">
        <v>5</v>
      </c>
      <c r="E39" s="86">
        <v>-0.121</v>
      </c>
      <c r="F39" s="64">
        <v>7.07</v>
      </c>
      <c r="G39" s="131">
        <f>E39-((B7-1)*100)</f>
        <v>-0.1856699999999889</v>
      </c>
      <c r="H39" s="131">
        <f>F39+C7</f>
        <v>8.6929999999999996</v>
      </c>
      <c r="I39" s="132">
        <f t="shared" ref="I39:I40" si="14">1-(G39/100)</f>
        <v>1.0018566999999998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8.6929999999999996</v>
      </c>
      <c r="P39" s="21">
        <f t="shared" si="3"/>
        <v>1.0018566999999998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45964</v>
      </c>
      <c r="B40" s="160" t="s">
        <v>175</v>
      </c>
      <c r="C40" s="142" t="str">
        <f>A9</f>
        <v>2:1/20%</v>
      </c>
      <c r="D40" s="142">
        <v>5</v>
      </c>
      <c r="E40" s="86">
        <v>-0.13700000000000001</v>
      </c>
      <c r="F40" s="64">
        <v>4.8</v>
      </c>
      <c r="G40" s="131">
        <f>E40-((B9-1)*100)</f>
        <v>-0.18800000000000106</v>
      </c>
      <c r="H40" s="131">
        <f>F40+C9</f>
        <v>5.63</v>
      </c>
      <c r="I40" s="132">
        <f t="shared" si="14"/>
        <v>1.0018800000000001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5.63</v>
      </c>
      <c r="R40" s="21">
        <f t="shared" si="10"/>
        <v>1.0018800000000001</v>
      </c>
    </row>
    <row r="41" spans="1:21" s="10" customFormat="1" ht="13.9" customHeight="1" x14ac:dyDescent="0.25">
      <c r="A41" s="161">
        <v>45964</v>
      </c>
      <c r="B41" s="160" t="s">
        <v>175</v>
      </c>
      <c r="C41" s="142" t="str">
        <f>A12</f>
        <v>2:1/100%</v>
      </c>
      <c r="D41" s="142">
        <v>5</v>
      </c>
      <c r="E41" s="86">
        <v>-0.11899999999999999</v>
      </c>
      <c r="F41" s="64">
        <v>3.27</v>
      </c>
      <c r="G41" s="131">
        <f>E41-((B12-1)*100)</f>
        <v>-0.16100000000000869</v>
      </c>
      <c r="H41" s="131">
        <f>F41+C12</f>
        <v>3.95</v>
      </c>
      <c r="I41" s="132">
        <f>1-(G41/100)</f>
        <v>1.0016100000000001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3.95</v>
      </c>
      <c r="R41" s="21">
        <f t="shared" si="10"/>
        <v>1.0016100000000001</v>
      </c>
    </row>
    <row r="42" spans="1:21" s="10" customFormat="1" ht="13.9" customHeight="1" thickBot="1" x14ac:dyDescent="0.3">
      <c r="A42" s="162">
        <v>45964</v>
      </c>
      <c r="B42" s="163" t="s">
        <v>175</v>
      </c>
      <c r="C42" s="146" t="str">
        <f>A13</f>
        <v>2:1/120%</v>
      </c>
      <c r="D42" s="146">
        <v>5</v>
      </c>
      <c r="E42" s="87">
        <v>-0.125</v>
      </c>
      <c r="F42" s="85">
        <v>4.78</v>
      </c>
      <c r="G42" s="137">
        <f>E42-((B13-1)*100)</f>
        <v>-0.16799999999999304</v>
      </c>
      <c r="H42" s="137">
        <f>F42+C13</f>
        <v>5.4530000000000003</v>
      </c>
      <c r="I42" s="138">
        <f t="shared" ref="I42" si="16">1-(G42/100)</f>
        <v>1.0016799999999999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5.4530000000000003</v>
      </c>
      <c r="R42" s="148">
        <f>I42</f>
        <v>1.0016799999999999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4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DCBD-96FE-4573-81D7-3ED4A993EB06}">
  <dimension ref="A1:U43"/>
  <sheetViews>
    <sheetView showGridLines="0" view="pageBreakPreview" topLeftCell="A13" zoomScaleNormal="115" zoomScaleSheetLayoutView="10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25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42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45965</v>
      </c>
      <c r="B28" s="159" t="s">
        <v>176</v>
      </c>
      <c r="C28" s="139" t="str">
        <f>A6</f>
        <v>2:1/1%</v>
      </c>
      <c r="D28" s="140">
        <v>5</v>
      </c>
      <c r="E28" s="96">
        <v>-8.2000000000000003E-2</v>
      </c>
      <c r="F28" s="97">
        <v>4.2699999999999996</v>
      </c>
      <c r="G28" s="129">
        <f>E28-((B6-1)*100)</f>
        <v>-0.16967000000000637</v>
      </c>
      <c r="H28" s="129">
        <f>F28+C6</f>
        <v>7.9369999999999994</v>
      </c>
      <c r="I28" s="130">
        <f>1-(G28/100)</f>
        <v>1.0016967000000001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7.9369999999999994</v>
      </c>
      <c r="N28" s="21">
        <f t="shared" ref="N28:N42" si="1">IFERROR(VLOOKUP($A$6,C28:I28,7,0),0)</f>
        <v>1.0016967000000001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45965</v>
      </c>
      <c r="B29" s="160" t="s">
        <v>176</v>
      </c>
      <c r="C29" s="141" t="str">
        <f t="shared" ref="C29" si="4">A7</f>
        <v>2:1/5%</v>
      </c>
      <c r="D29" s="142">
        <v>5</v>
      </c>
      <c r="E29" s="86">
        <v>-0.10199999999999999</v>
      </c>
      <c r="F29" s="64">
        <v>4.71</v>
      </c>
      <c r="G29" s="131">
        <f t="shared" ref="G29" si="5">E29-((B7-1)*100)</f>
        <v>-0.16666999999998888</v>
      </c>
      <c r="H29" s="131">
        <f t="shared" ref="H29" si="6">F29+C7</f>
        <v>6.3330000000000002</v>
      </c>
      <c r="I29" s="132">
        <f t="shared" ref="I29:I30" si="7">1-(G29/100)</f>
        <v>1.0016666999999999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6.3330000000000002</v>
      </c>
      <c r="P29" s="21">
        <f t="shared" si="3"/>
        <v>1.0016666999999999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45965</v>
      </c>
      <c r="B30" s="160" t="s">
        <v>176</v>
      </c>
      <c r="C30" s="141" t="str">
        <f>A9</f>
        <v>2:1/20%</v>
      </c>
      <c r="D30" s="142">
        <v>5</v>
      </c>
      <c r="E30" s="86">
        <v>-0.111</v>
      </c>
      <c r="F30" s="64">
        <v>2.57</v>
      </c>
      <c r="G30" s="131">
        <f>E30-((B9-1)*100)</f>
        <v>-0.16200000000000103</v>
      </c>
      <c r="H30" s="131">
        <f>F30+C9</f>
        <v>3.4</v>
      </c>
      <c r="I30" s="132">
        <f t="shared" si="7"/>
        <v>1.00162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3.4</v>
      </c>
      <c r="R30" s="21">
        <f>IFERROR(VLOOKUP($A$9,C30:I30,7,0),IFERROR(VLOOKUP($A$12,C30:I30,7,0),IFERROR(VLOOKUP($A$14,C30:I30,7,0),0)))</f>
        <v>1.00162</v>
      </c>
    </row>
    <row r="31" spans="1:21" s="10" customFormat="1" ht="13.9" customHeight="1" x14ac:dyDescent="0.25">
      <c r="A31" s="161">
        <v>45965</v>
      </c>
      <c r="B31" s="160" t="s">
        <v>176</v>
      </c>
      <c r="C31" s="141" t="str">
        <f>A12</f>
        <v>2:1/100%</v>
      </c>
      <c r="D31" s="142">
        <v>5</v>
      </c>
      <c r="E31" s="86">
        <v>-6.2E-2</v>
      </c>
      <c r="F31" s="64">
        <v>0.28999999999999998</v>
      </c>
      <c r="G31" s="131">
        <f>E31-((B12-1)*100)</f>
        <v>-0.1040000000000087</v>
      </c>
      <c r="H31" s="131">
        <f>F31+C12</f>
        <v>0.97</v>
      </c>
      <c r="I31" s="132">
        <f>1-(G31/100)</f>
        <v>1.0010400000000002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0.97</v>
      </c>
      <c r="R31" s="21">
        <f t="shared" ref="R31:R41" si="10">IFERROR(VLOOKUP($A$9,C31:I31,7,0),IFERROR(VLOOKUP($A$12,C31:I31,7,0),IFERROR(VLOOKUP($A$14,C31:I31,7,0),0)))</f>
        <v>1.0010400000000002</v>
      </c>
    </row>
    <row r="32" spans="1:21" s="10" customFormat="1" ht="13.9" customHeight="1" thickBot="1" x14ac:dyDescent="0.3">
      <c r="A32" s="165">
        <v>45965</v>
      </c>
      <c r="B32" s="166" t="s">
        <v>176</v>
      </c>
      <c r="C32" s="143" t="str">
        <f>A13</f>
        <v>2:1/120%</v>
      </c>
      <c r="D32" s="144">
        <v>5</v>
      </c>
      <c r="E32" s="126">
        <v>-5.6000000000000001E-2</v>
      </c>
      <c r="F32" s="127">
        <v>0.1</v>
      </c>
      <c r="G32" s="133">
        <f>E32-((B13-1)*100)</f>
        <v>-9.8999999999993038E-2</v>
      </c>
      <c r="H32" s="133">
        <f>F32+C13</f>
        <v>0.77300000000000002</v>
      </c>
      <c r="I32" s="134">
        <f t="shared" ref="I32" si="11">1-(G32/100)</f>
        <v>1.0009899999999998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0.77300000000000002</v>
      </c>
      <c r="R32" s="148">
        <f>I32</f>
        <v>1.0009899999999998</v>
      </c>
    </row>
    <row r="33" spans="1:21" s="10" customFormat="1" ht="13.9" customHeight="1" thickTop="1" x14ac:dyDescent="0.25">
      <c r="A33" s="164">
        <v>45965</v>
      </c>
      <c r="B33" s="123" t="s">
        <v>177</v>
      </c>
      <c r="C33" s="145" t="str">
        <f>A6</f>
        <v>2:1/1%</v>
      </c>
      <c r="D33" s="145">
        <v>5</v>
      </c>
      <c r="E33" s="124">
        <v>-7.0000000000000007E-2</v>
      </c>
      <c r="F33" s="125">
        <v>3.35</v>
      </c>
      <c r="G33" s="135">
        <f>E33-((B6-1)*100)</f>
        <v>-0.15767000000000636</v>
      </c>
      <c r="H33" s="135">
        <f>F33+C6</f>
        <v>7.0169999999999995</v>
      </c>
      <c r="I33" s="136">
        <f>1-(G33/100)</f>
        <v>1.0015767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7.0169999999999995</v>
      </c>
      <c r="N33" s="21">
        <f t="shared" si="1"/>
        <v>1.0015767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45965</v>
      </c>
      <c r="B34" s="160" t="s">
        <v>177</v>
      </c>
      <c r="C34" s="142" t="str">
        <f>A7</f>
        <v>2:1/5%</v>
      </c>
      <c r="D34" s="142">
        <v>5</v>
      </c>
      <c r="E34" s="86">
        <v>-8.8999999999999996E-2</v>
      </c>
      <c r="F34" s="64">
        <v>4.51</v>
      </c>
      <c r="G34" s="131">
        <f>E34-((B7-1)*100)</f>
        <v>-0.1536699999999889</v>
      </c>
      <c r="H34" s="131">
        <f>F34+C7</f>
        <v>6.133</v>
      </c>
      <c r="I34" s="132">
        <f t="shared" ref="I34:I35" si="12">1-(G34/100)</f>
        <v>1.0015366999999999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6.133</v>
      </c>
      <c r="P34" s="21">
        <f t="shared" si="3"/>
        <v>1.0015366999999999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45965</v>
      </c>
      <c r="B35" s="160" t="s">
        <v>177</v>
      </c>
      <c r="C35" s="142" t="str">
        <f>A9</f>
        <v>2:1/20%</v>
      </c>
      <c r="D35" s="142">
        <v>5</v>
      </c>
      <c r="E35" s="86">
        <v>-0.108</v>
      </c>
      <c r="F35" s="64">
        <v>2.84</v>
      </c>
      <c r="G35" s="131">
        <f>E35-((B9-1)*100)</f>
        <v>-0.15900000000000103</v>
      </c>
      <c r="H35" s="131">
        <f>F35+C9</f>
        <v>3.67</v>
      </c>
      <c r="I35" s="132">
        <f t="shared" si="12"/>
        <v>1.00159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3.67</v>
      </c>
      <c r="R35" s="21">
        <f t="shared" si="10"/>
        <v>1.00159</v>
      </c>
    </row>
    <row r="36" spans="1:21" s="10" customFormat="1" ht="13.9" customHeight="1" x14ac:dyDescent="0.25">
      <c r="A36" s="161">
        <v>45965</v>
      </c>
      <c r="B36" s="160" t="s">
        <v>177</v>
      </c>
      <c r="C36" s="142" t="str">
        <f>A12</f>
        <v>2:1/100%</v>
      </c>
      <c r="D36" s="142">
        <v>5</v>
      </c>
      <c r="E36" s="86">
        <v>-6.8000000000000005E-2</v>
      </c>
      <c r="F36" s="64">
        <v>0.32</v>
      </c>
      <c r="G36" s="131">
        <f>E36-((B12-1)*100)</f>
        <v>-0.1100000000000087</v>
      </c>
      <c r="H36" s="131">
        <f>F36+C12</f>
        <v>1</v>
      </c>
      <c r="I36" s="132">
        <f>1-(G36/100)</f>
        <v>1.0011000000000001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</v>
      </c>
      <c r="R36" s="21">
        <f t="shared" si="10"/>
        <v>1.0011000000000001</v>
      </c>
    </row>
    <row r="37" spans="1:21" s="10" customFormat="1" ht="13.9" customHeight="1" thickBot="1" x14ac:dyDescent="0.3">
      <c r="A37" s="165">
        <v>45965</v>
      </c>
      <c r="B37" s="166" t="s">
        <v>177</v>
      </c>
      <c r="C37" s="144" t="str">
        <f>A13</f>
        <v>2:1/120%</v>
      </c>
      <c r="D37" s="144">
        <v>5</v>
      </c>
      <c r="E37" s="126">
        <v>-6.0999999999999999E-2</v>
      </c>
      <c r="F37" s="127">
        <v>0.04</v>
      </c>
      <c r="G37" s="133">
        <f>E37-((B13-1)*100)</f>
        <v>-0.10399999999999304</v>
      </c>
      <c r="H37" s="133">
        <f>F37+C13</f>
        <v>0.71300000000000008</v>
      </c>
      <c r="I37" s="134">
        <f t="shared" ref="I37" si="13">1-(G37/100)</f>
        <v>1.0010399999999999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0.71300000000000008</v>
      </c>
      <c r="R37" s="148">
        <f>I37</f>
        <v>1.0010399999999999</v>
      </c>
    </row>
    <row r="38" spans="1:21" s="10" customFormat="1" ht="13.9" customHeight="1" thickTop="1" x14ac:dyDescent="0.25">
      <c r="A38" s="164">
        <v>45965</v>
      </c>
      <c r="B38" s="123" t="s">
        <v>178</v>
      </c>
      <c r="C38" s="145" t="str">
        <f>A6</f>
        <v>2:1/1%</v>
      </c>
      <c r="D38" s="145">
        <v>5</v>
      </c>
      <c r="E38" s="124">
        <v>-0.11899999999999999</v>
      </c>
      <c r="F38" s="125">
        <v>7.66</v>
      </c>
      <c r="G38" s="135">
        <f>E38-((B6-1)*100)</f>
        <v>-0.20667000000000635</v>
      </c>
      <c r="H38" s="135">
        <f>F38+C6</f>
        <v>11.327</v>
      </c>
      <c r="I38" s="136">
        <f>1-(G38/100)</f>
        <v>1.0020667000000001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11.327</v>
      </c>
      <c r="N38" s="21">
        <f t="shared" si="1"/>
        <v>1.0020667000000001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45965</v>
      </c>
      <c r="B39" s="160" t="s">
        <v>178</v>
      </c>
      <c r="C39" s="142" t="str">
        <f>A7</f>
        <v>2:1/5%</v>
      </c>
      <c r="D39" s="142">
        <v>5</v>
      </c>
      <c r="E39" s="86">
        <v>-0.125</v>
      </c>
      <c r="F39" s="64">
        <v>7.55</v>
      </c>
      <c r="G39" s="131">
        <f>E39-((B7-1)*100)</f>
        <v>-0.1896699999999889</v>
      </c>
      <c r="H39" s="131">
        <f>F39+C7</f>
        <v>9.173</v>
      </c>
      <c r="I39" s="132">
        <f t="shared" ref="I39:I40" si="14">1-(G39/100)</f>
        <v>1.0018966999999999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9.173</v>
      </c>
      <c r="P39" s="21">
        <f t="shared" si="3"/>
        <v>1.0018966999999999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45965</v>
      </c>
      <c r="B40" s="160" t="s">
        <v>178</v>
      </c>
      <c r="C40" s="142" t="str">
        <f>A9</f>
        <v>2:1/20%</v>
      </c>
      <c r="D40" s="142">
        <v>5</v>
      </c>
      <c r="E40" s="86">
        <v>-0.14199999999999999</v>
      </c>
      <c r="F40" s="64">
        <v>4.5999999999999996</v>
      </c>
      <c r="G40" s="131">
        <f>E40-((B9-1)*100)</f>
        <v>-0.19300000000000103</v>
      </c>
      <c r="H40" s="131">
        <f>F40+C9</f>
        <v>5.43</v>
      </c>
      <c r="I40" s="132">
        <f t="shared" si="14"/>
        <v>1.00193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5.43</v>
      </c>
      <c r="R40" s="21">
        <f t="shared" si="10"/>
        <v>1.00193</v>
      </c>
    </row>
    <row r="41" spans="1:21" s="10" customFormat="1" ht="13.9" customHeight="1" x14ac:dyDescent="0.25">
      <c r="A41" s="161">
        <v>45965</v>
      </c>
      <c r="B41" s="160" t="s">
        <v>178</v>
      </c>
      <c r="C41" s="142" t="str">
        <f>A12</f>
        <v>2:1/100%</v>
      </c>
      <c r="D41" s="142">
        <v>5</v>
      </c>
      <c r="E41" s="86">
        <v>-9.5000000000000001E-2</v>
      </c>
      <c r="F41" s="64">
        <v>2.08</v>
      </c>
      <c r="G41" s="131">
        <f>E41-((B12-1)*100)</f>
        <v>-0.1370000000000087</v>
      </c>
      <c r="H41" s="131">
        <f>F41+C12</f>
        <v>2.7600000000000002</v>
      </c>
      <c r="I41" s="132">
        <f>1-(G41/100)</f>
        <v>1.0013700000000001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2.7600000000000002</v>
      </c>
      <c r="R41" s="21">
        <f t="shared" si="10"/>
        <v>1.0013700000000001</v>
      </c>
    </row>
    <row r="42" spans="1:21" s="10" customFormat="1" ht="13.9" customHeight="1" thickBot="1" x14ac:dyDescent="0.3">
      <c r="A42" s="162">
        <v>45965</v>
      </c>
      <c r="B42" s="163" t="s">
        <v>178</v>
      </c>
      <c r="C42" s="146" t="str">
        <f>A13</f>
        <v>2:1/120%</v>
      </c>
      <c r="D42" s="146">
        <v>5</v>
      </c>
      <c r="E42" s="87">
        <v>-9.5000000000000001E-2</v>
      </c>
      <c r="F42" s="85">
        <v>2.33</v>
      </c>
      <c r="G42" s="137">
        <f>E42-((B13-1)*100)</f>
        <v>-0.13799999999999304</v>
      </c>
      <c r="H42" s="137">
        <f>F42+C13</f>
        <v>3.0030000000000001</v>
      </c>
      <c r="I42" s="138">
        <f t="shared" ref="I42" si="16">1-(G42/100)</f>
        <v>1.0013799999999999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3.0030000000000001</v>
      </c>
      <c r="R42" s="148">
        <f>I42</f>
        <v>1.0013799999999999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3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186-4A5F-49E9-8BD9-E9D008C21359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25.3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41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45965</v>
      </c>
      <c r="B28" s="159" t="s">
        <v>179</v>
      </c>
      <c r="C28" s="139" t="str">
        <f>A6</f>
        <v>2:1/1%</v>
      </c>
      <c r="D28" s="140">
        <v>5</v>
      </c>
      <c r="E28" s="96">
        <v>-0.11700000000000001</v>
      </c>
      <c r="F28" s="97">
        <v>7.4</v>
      </c>
      <c r="G28" s="129">
        <f>E28-((B6-1)*100)</f>
        <v>-0.20467000000000635</v>
      </c>
      <c r="H28" s="129">
        <f>F28+C6</f>
        <v>11.067</v>
      </c>
      <c r="I28" s="130">
        <f>1-(G28/100)</f>
        <v>1.0020467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11.067</v>
      </c>
      <c r="N28" s="21">
        <f t="shared" ref="N28:N42" si="1">IFERROR(VLOOKUP($A$6,C28:I28,7,0),0)</f>
        <v>1.0020467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45965</v>
      </c>
      <c r="B29" s="160" t="s">
        <v>179</v>
      </c>
      <c r="C29" s="141" t="str">
        <f t="shared" ref="C29" si="4">A7</f>
        <v>2:1/5%</v>
      </c>
      <c r="D29" s="142">
        <v>5</v>
      </c>
      <c r="E29" s="86">
        <v>-0.13</v>
      </c>
      <c r="F29" s="64">
        <v>7.49</v>
      </c>
      <c r="G29" s="131">
        <f t="shared" ref="G29" si="5">E29-((B7-1)*100)</f>
        <v>-0.19466999999998891</v>
      </c>
      <c r="H29" s="131">
        <f t="shared" ref="H29" si="6">F29+C7</f>
        <v>9.1129999999999995</v>
      </c>
      <c r="I29" s="132">
        <f t="shared" ref="I29:I30" si="7">1-(G29/100)</f>
        <v>1.0019467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9.1129999999999995</v>
      </c>
      <c r="P29" s="21">
        <f t="shared" si="3"/>
        <v>1.0019467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45965</v>
      </c>
      <c r="B30" s="160" t="s">
        <v>179</v>
      </c>
      <c r="C30" s="141" t="str">
        <f>A9</f>
        <v>2:1/20%</v>
      </c>
      <c r="D30" s="142">
        <v>5</v>
      </c>
      <c r="E30" s="86">
        <v>-0.14799999999999999</v>
      </c>
      <c r="F30" s="64">
        <v>3.98</v>
      </c>
      <c r="G30" s="131">
        <f>E30-((B9-1)*100)</f>
        <v>-0.19900000000000104</v>
      </c>
      <c r="H30" s="131">
        <f>F30+C9</f>
        <v>4.8099999999999996</v>
      </c>
      <c r="I30" s="132">
        <f t="shared" si="7"/>
        <v>1.0019899999999999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4.8099999999999996</v>
      </c>
      <c r="R30" s="21">
        <f>IFERROR(VLOOKUP($A$9,C30:I30,7,0),IFERROR(VLOOKUP($A$12,C30:I30,7,0),IFERROR(VLOOKUP($A$14,C30:I30,7,0),0)))</f>
        <v>1.0019899999999999</v>
      </c>
    </row>
    <row r="31" spans="1:21" s="10" customFormat="1" ht="13.9" customHeight="1" x14ac:dyDescent="0.25">
      <c r="A31" s="161">
        <v>45965</v>
      </c>
      <c r="B31" s="160" t="s">
        <v>179</v>
      </c>
      <c r="C31" s="141" t="str">
        <f>A12</f>
        <v>2:1/100%</v>
      </c>
      <c r="D31" s="142">
        <v>5</v>
      </c>
      <c r="E31" s="86">
        <v>-8.5999999999999993E-2</v>
      </c>
      <c r="F31" s="64">
        <v>0.74</v>
      </c>
      <c r="G31" s="131">
        <f>E31-((B12-1)*100)</f>
        <v>-0.12800000000000869</v>
      </c>
      <c r="H31" s="131">
        <f>F31+C12</f>
        <v>1.42</v>
      </c>
      <c r="I31" s="132">
        <f>1-(G31/100)</f>
        <v>1.0012800000000002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1.42</v>
      </c>
      <c r="R31" s="21">
        <f t="shared" ref="R31:R41" si="10">IFERROR(VLOOKUP($A$9,C31:I31,7,0),IFERROR(VLOOKUP($A$12,C31:I31,7,0),IFERROR(VLOOKUP($A$14,C31:I31,7,0),0)))</f>
        <v>1.0012800000000002</v>
      </c>
    </row>
    <row r="32" spans="1:21" s="10" customFormat="1" ht="13.9" customHeight="1" thickBot="1" x14ac:dyDescent="0.3">
      <c r="A32" s="165">
        <v>45965</v>
      </c>
      <c r="B32" s="166" t="s">
        <v>179</v>
      </c>
      <c r="C32" s="143" t="str">
        <f>A13</f>
        <v>2:1/120%</v>
      </c>
      <c r="D32" s="144">
        <v>5</v>
      </c>
      <c r="E32" s="126">
        <v>-7.9000000000000001E-2</v>
      </c>
      <c r="F32" s="127">
        <v>0.5</v>
      </c>
      <c r="G32" s="133">
        <f>E32-((B13-1)*100)</f>
        <v>-0.12199999999999304</v>
      </c>
      <c r="H32" s="133">
        <f>F32+C13</f>
        <v>1.173</v>
      </c>
      <c r="I32" s="134">
        <f t="shared" ref="I32" si="11">1-(G32/100)</f>
        <v>1.00122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1.173</v>
      </c>
      <c r="R32" s="148">
        <f>I32</f>
        <v>1.00122</v>
      </c>
    </row>
    <row r="33" spans="1:21" s="10" customFormat="1" ht="13.9" customHeight="1" thickTop="1" x14ac:dyDescent="0.25">
      <c r="A33" s="164">
        <v>45965</v>
      </c>
      <c r="B33" s="123" t="s">
        <v>180</v>
      </c>
      <c r="C33" s="145" t="str">
        <f>A6</f>
        <v>2:1/1%</v>
      </c>
      <c r="D33" s="145">
        <v>5</v>
      </c>
      <c r="E33" s="124">
        <v>-0.112</v>
      </c>
      <c r="F33" s="125">
        <v>6.7</v>
      </c>
      <c r="G33" s="135">
        <f>E33-((B6-1)*100)</f>
        <v>-0.19967000000000634</v>
      </c>
      <c r="H33" s="135">
        <f>F33+C6</f>
        <v>10.367000000000001</v>
      </c>
      <c r="I33" s="136">
        <f>1-(G33/100)</f>
        <v>1.0019967000000001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10.367000000000001</v>
      </c>
      <c r="N33" s="21">
        <f t="shared" si="1"/>
        <v>1.0019967000000001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45965</v>
      </c>
      <c r="B34" s="160" t="s">
        <v>180</v>
      </c>
      <c r="C34" s="142" t="str">
        <f>A7</f>
        <v>2:1/5%</v>
      </c>
      <c r="D34" s="142">
        <v>5</v>
      </c>
      <c r="E34" s="86">
        <v>-0.13300000000000001</v>
      </c>
      <c r="F34" s="64">
        <v>6.91</v>
      </c>
      <c r="G34" s="131">
        <f>E34-((B7-1)*100)</f>
        <v>-0.19766999999998891</v>
      </c>
      <c r="H34" s="131">
        <f>F34+C7</f>
        <v>8.5329999999999995</v>
      </c>
      <c r="I34" s="132">
        <f t="shared" ref="I34:I35" si="12">1-(G34/100)</f>
        <v>1.0019766999999999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8.5329999999999995</v>
      </c>
      <c r="P34" s="21">
        <f t="shared" si="3"/>
        <v>1.0019766999999999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45965</v>
      </c>
      <c r="B35" s="160" t="s">
        <v>180</v>
      </c>
      <c r="C35" s="142" t="str">
        <f>A9</f>
        <v>2:1/20%</v>
      </c>
      <c r="D35" s="142">
        <v>5</v>
      </c>
      <c r="E35" s="86">
        <v>-0.14299999999999999</v>
      </c>
      <c r="F35" s="64">
        <v>3.54</v>
      </c>
      <c r="G35" s="131">
        <f>E35-((B9-1)*100)</f>
        <v>-0.19400000000000103</v>
      </c>
      <c r="H35" s="131">
        <f>F35+C9</f>
        <v>4.37</v>
      </c>
      <c r="I35" s="132">
        <f t="shared" si="12"/>
        <v>1.0019400000000001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4.37</v>
      </c>
      <c r="R35" s="21">
        <f t="shared" si="10"/>
        <v>1.0019400000000001</v>
      </c>
    </row>
    <row r="36" spans="1:21" s="10" customFormat="1" ht="13.9" customHeight="1" x14ac:dyDescent="0.25">
      <c r="A36" s="161">
        <v>45965</v>
      </c>
      <c r="B36" s="160" t="s">
        <v>180</v>
      </c>
      <c r="C36" s="142" t="str">
        <f>A12</f>
        <v>2:1/100%</v>
      </c>
      <c r="D36" s="142">
        <v>5</v>
      </c>
      <c r="E36" s="86">
        <v>-7.9000000000000001E-2</v>
      </c>
      <c r="F36" s="64">
        <v>0.48</v>
      </c>
      <c r="G36" s="131">
        <f>E36-((B12-1)*100)</f>
        <v>-0.1210000000000087</v>
      </c>
      <c r="H36" s="131">
        <f>F36+C12</f>
        <v>1.1600000000000001</v>
      </c>
      <c r="I36" s="132">
        <f>1-(G36/100)</f>
        <v>1.0012100000000002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1.1600000000000001</v>
      </c>
      <c r="R36" s="21">
        <f t="shared" si="10"/>
        <v>1.0012100000000002</v>
      </c>
    </row>
    <row r="37" spans="1:21" s="10" customFormat="1" ht="13.9" customHeight="1" thickBot="1" x14ac:dyDescent="0.3">
      <c r="A37" s="165">
        <v>45965</v>
      </c>
      <c r="B37" s="166" t="s">
        <v>180</v>
      </c>
      <c r="C37" s="144" t="str">
        <f>A13</f>
        <v>2:1/120%</v>
      </c>
      <c r="D37" s="144">
        <v>5</v>
      </c>
      <c r="E37" s="126">
        <v>-7.3999999999999996E-2</v>
      </c>
      <c r="F37" s="127">
        <v>0.33</v>
      </c>
      <c r="G37" s="133">
        <f>E37-((B13-1)*100)</f>
        <v>-0.11699999999999304</v>
      </c>
      <c r="H37" s="133">
        <f>F37+C13</f>
        <v>1.0030000000000001</v>
      </c>
      <c r="I37" s="134">
        <f t="shared" ref="I37" si="13">1-(G37/100)</f>
        <v>1.0011699999999999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1.0030000000000001</v>
      </c>
      <c r="R37" s="148">
        <f>I37</f>
        <v>1.0011699999999999</v>
      </c>
    </row>
    <row r="38" spans="1:21" s="10" customFormat="1" ht="13.9" customHeight="1" thickTop="1" x14ac:dyDescent="0.25">
      <c r="A38" s="164">
        <v>45965</v>
      </c>
      <c r="B38" s="123" t="s">
        <v>181</v>
      </c>
      <c r="C38" s="145" t="str">
        <f>A6</f>
        <v>2:1/1%</v>
      </c>
      <c r="D38" s="145">
        <v>5</v>
      </c>
      <c r="E38" s="124">
        <v>-0.10100000000000001</v>
      </c>
      <c r="F38" s="125">
        <v>8.25</v>
      </c>
      <c r="G38" s="135">
        <f>E38-((B6-1)*100)</f>
        <v>-0.18867000000000636</v>
      </c>
      <c r="H38" s="135">
        <f>F38+C6</f>
        <v>11.917</v>
      </c>
      <c r="I38" s="136">
        <f>1-(G38/100)</f>
        <v>1.0018867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11.917</v>
      </c>
      <c r="N38" s="21">
        <f t="shared" si="1"/>
        <v>1.0018867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45965</v>
      </c>
      <c r="B39" s="160" t="s">
        <v>181</v>
      </c>
      <c r="C39" s="142" t="str">
        <f>A7</f>
        <v>2:1/5%</v>
      </c>
      <c r="D39" s="142">
        <v>5</v>
      </c>
      <c r="E39" s="86">
        <v>-0.11700000000000001</v>
      </c>
      <c r="F39" s="64">
        <v>7.79</v>
      </c>
      <c r="G39" s="131">
        <f>E39-((B7-1)*100)</f>
        <v>-0.1816699999999889</v>
      </c>
      <c r="H39" s="131">
        <f>F39+C7</f>
        <v>9.4130000000000003</v>
      </c>
      <c r="I39" s="132">
        <f t="shared" ref="I39:I40" si="14">1-(G39/100)</f>
        <v>1.0018166999999998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9.4130000000000003</v>
      </c>
      <c r="P39" s="21">
        <f t="shared" si="3"/>
        <v>1.0018166999999998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45965</v>
      </c>
      <c r="B40" s="160" t="s">
        <v>181</v>
      </c>
      <c r="C40" s="142" t="str">
        <f>A9</f>
        <v>2:1/20%</v>
      </c>
      <c r="D40" s="142">
        <v>5</v>
      </c>
      <c r="E40" s="86">
        <v>-0.13900000000000001</v>
      </c>
      <c r="F40" s="64">
        <v>4.9400000000000004</v>
      </c>
      <c r="G40" s="131">
        <f>E40-((B9-1)*100)</f>
        <v>-0.19000000000000106</v>
      </c>
      <c r="H40" s="131">
        <f>F40+C9</f>
        <v>5.7700000000000005</v>
      </c>
      <c r="I40" s="132">
        <f t="shared" si="14"/>
        <v>1.0019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5.7700000000000005</v>
      </c>
      <c r="R40" s="21">
        <f t="shared" si="10"/>
        <v>1.0019</v>
      </c>
    </row>
    <row r="41" spans="1:21" s="10" customFormat="1" ht="13.9" customHeight="1" x14ac:dyDescent="0.25">
      <c r="A41" s="161">
        <v>45965</v>
      </c>
      <c r="B41" s="160" t="s">
        <v>181</v>
      </c>
      <c r="C41" s="142" t="str">
        <f>A12</f>
        <v>2:1/100%</v>
      </c>
      <c r="D41" s="142">
        <v>5</v>
      </c>
      <c r="E41" s="86">
        <v>-9.8000000000000004E-2</v>
      </c>
      <c r="F41" s="64">
        <v>2.08</v>
      </c>
      <c r="G41" s="131">
        <f>E41-((B12-1)*100)</f>
        <v>-0.1400000000000087</v>
      </c>
      <c r="H41" s="131">
        <f>F41+C12</f>
        <v>2.7600000000000002</v>
      </c>
      <c r="I41" s="132">
        <f>1-(G41/100)</f>
        <v>1.0014000000000001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2.7600000000000002</v>
      </c>
      <c r="R41" s="21">
        <f t="shared" si="10"/>
        <v>1.0014000000000001</v>
      </c>
    </row>
    <row r="42" spans="1:21" s="10" customFormat="1" ht="13.9" customHeight="1" thickBot="1" x14ac:dyDescent="0.3">
      <c r="A42" s="162">
        <v>45965</v>
      </c>
      <c r="B42" s="163" t="s">
        <v>181</v>
      </c>
      <c r="C42" s="146" t="str">
        <f>A13</f>
        <v>2:1/120%</v>
      </c>
      <c r="D42" s="146">
        <v>5</v>
      </c>
      <c r="E42" s="87">
        <v>-8.8999999999999996E-2</v>
      </c>
      <c r="F42" s="85">
        <v>1.64</v>
      </c>
      <c r="G42" s="137">
        <f>E42-((B13-1)*100)</f>
        <v>-0.13199999999999304</v>
      </c>
      <c r="H42" s="137">
        <f>F42+C13</f>
        <v>2.3129999999999997</v>
      </c>
      <c r="I42" s="138">
        <f t="shared" ref="I42" si="16">1-(G42/100)</f>
        <v>1.00132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2.3129999999999997</v>
      </c>
      <c r="R42" s="148">
        <f>I42</f>
        <v>1.00132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2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7ADA-BD2A-4BD5-A6CE-ACB24B90F047}">
  <dimension ref="A1:U43"/>
  <sheetViews>
    <sheetView showGridLines="0" view="pageBreakPreview" topLeftCell="A9" zoomScale="90" zoomScaleNormal="115" zoomScaleSheetLayoutView="90" workbookViewId="0">
      <selection activeCell="F43" sqref="F43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29.3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27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45965</v>
      </c>
      <c r="B28" s="159" t="s">
        <v>182</v>
      </c>
      <c r="C28" s="139" t="str">
        <f>A6</f>
        <v>2:1/1%</v>
      </c>
      <c r="D28" s="140">
        <v>5</v>
      </c>
      <c r="E28" s="96">
        <v>-0.11700000000000001</v>
      </c>
      <c r="F28" s="97">
        <v>5.71</v>
      </c>
      <c r="G28" s="129">
        <f>E28-((B6-1)*100)</f>
        <v>-0.20467000000000635</v>
      </c>
      <c r="H28" s="129">
        <f>F28+C6</f>
        <v>9.3769999999999989</v>
      </c>
      <c r="I28" s="130">
        <f>1-(G28/100)</f>
        <v>1.0020467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9.3769999999999989</v>
      </c>
      <c r="N28" s="21">
        <f t="shared" ref="N28:N42" si="1">IFERROR(VLOOKUP($A$6,C28:I28,7,0),0)</f>
        <v>1.0020467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45965</v>
      </c>
      <c r="B29" s="160" t="s">
        <v>182</v>
      </c>
      <c r="C29" s="141" t="str">
        <f t="shared" ref="C29" si="4">A7</f>
        <v>2:1/5%</v>
      </c>
      <c r="D29" s="142">
        <v>5</v>
      </c>
      <c r="E29" s="86">
        <v>-0.14000000000000001</v>
      </c>
      <c r="F29" s="64">
        <v>7.03</v>
      </c>
      <c r="G29" s="131">
        <f t="shared" ref="G29" si="5">E29-((B7-1)*100)</f>
        <v>-0.20466999999998892</v>
      </c>
      <c r="H29" s="131">
        <f t="shared" ref="H29" si="6">F29+C7</f>
        <v>8.6530000000000005</v>
      </c>
      <c r="I29" s="132">
        <f t="shared" ref="I29:I30" si="7">1-(G29/100)</f>
        <v>1.0020467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8.6530000000000005</v>
      </c>
      <c r="P29" s="21">
        <f t="shared" si="3"/>
        <v>1.0020467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45965</v>
      </c>
      <c r="B30" s="160" t="s">
        <v>182</v>
      </c>
      <c r="C30" s="141" t="str">
        <f>A9</f>
        <v>2:1/20%</v>
      </c>
      <c r="D30" s="142">
        <v>5</v>
      </c>
      <c r="E30" s="86">
        <v>-0.16</v>
      </c>
      <c r="F30" s="64">
        <v>3.53</v>
      </c>
      <c r="G30" s="131">
        <f>E30-((B9-1)*100)</f>
        <v>-0.21100000000000105</v>
      </c>
      <c r="H30" s="131">
        <f>F30+C9</f>
        <v>4.3599999999999994</v>
      </c>
      <c r="I30" s="132">
        <f t="shared" si="7"/>
        <v>1.0021100000000001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4.3599999999999994</v>
      </c>
      <c r="R30" s="21">
        <f>IFERROR(VLOOKUP($A$9,C30:I30,7,0),IFERROR(VLOOKUP($A$12,C30:I30,7,0),IFERROR(VLOOKUP($A$14,C30:I30,7,0),0)))</f>
        <v>1.0021100000000001</v>
      </c>
    </row>
    <row r="31" spans="1:21" s="10" customFormat="1" ht="13.9" customHeight="1" x14ac:dyDescent="0.25">
      <c r="A31" s="161">
        <v>45965</v>
      </c>
      <c r="B31" s="160" t="s">
        <v>182</v>
      </c>
      <c r="C31" s="141" t="str">
        <f>A12</f>
        <v>2:1/100%</v>
      </c>
      <c r="D31" s="142">
        <v>5</v>
      </c>
      <c r="E31" s="86">
        <v>-8.8999999999999996E-2</v>
      </c>
      <c r="F31" s="64">
        <v>0.21</v>
      </c>
      <c r="G31" s="131">
        <f>E31-((B12-1)*100)</f>
        <v>-0.13100000000000869</v>
      </c>
      <c r="H31" s="131">
        <f>F31+C12</f>
        <v>0.89</v>
      </c>
      <c r="I31" s="132">
        <f>1-(G31/100)</f>
        <v>1.0013100000000001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0.89</v>
      </c>
      <c r="R31" s="21">
        <f t="shared" ref="R31:R41" si="10">IFERROR(VLOOKUP($A$9,C31:I31,7,0),IFERROR(VLOOKUP($A$12,C31:I31,7,0),IFERROR(VLOOKUP($A$14,C31:I31,7,0),0)))</f>
        <v>1.0013100000000001</v>
      </c>
    </row>
    <row r="32" spans="1:21" s="10" customFormat="1" ht="13.9" customHeight="1" thickBot="1" x14ac:dyDescent="0.3">
      <c r="A32" s="165">
        <v>45965</v>
      </c>
      <c r="B32" s="166" t="s">
        <v>182</v>
      </c>
      <c r="C32" s="143" t="str">
        <f>A13</f>
        <v>2:1/120%</v>
      </c>
      <c r="D32" s="144">
        <v>5</v>
      </c>
      <c r="E32" s="126">
        <v>-8.3000000000000004E-2</v>
      </c>
      <c r="F32" s="127">
        <v>0.11</v>
      </c>
      <c r="G32" s="133">
        <f>E32-((B13-1)*100)</f>
        <v>-0.12599999999999306</v>
      </c>
      <c r="H32" s="133">
        <f>F32+C13</f>
        <v>0.78300000000000003</v>
      </c>
      <c r="I32" s="134">
        <f t="shared" ref="I32" si="11">1-(G32/100)</f>
        <v>1.00126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0.78300000000000003</v>
      </c>
      <c r="R32" s="148">
        <f>I32</f>
        <v>1.00126</v>
      </c>
    </row>
    <row r="33" spans="1:21" s="10" customFormat="1" ht="13.9" customHeight="1" thickTop="1" x14ac:dyDescent="0.25">
      <c r="A33" s="164">
        <v>45965</v>
      </c>
      <c r="B33" s="123" t="s">
        <v>183</v>
      </c>
      <c r="C33" s="145" t="str">
        <f>A6</f>
        <v>2:1/1%</v>
      </c>
      <c r="D33" s="145">
        <v>5</v>
      </c>
      <c r="E33" s="124">
        <v>-6.4000000000000001E-2</v>
      </c>
      <c r="F33" s="125">
        <v>2.16</v>
      </c>
      <c r="G33" s="135">
        <f>E33-((B6-1)*100)</f>
        <v>-0.15167000000000636</v>
      </c>
      <c r="H33" s="135">
        <f>F33+C6</f>
        <v>5.827</v>
      </c>
      <c r="I33" s="136">
        <f>1-(G33/100)</f>
        <v>1.0015167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5.827</v>
      </c>
      <c r="N33" s="21">
        <f t="shared" si="1"/>
        <v>1.0015167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45965</v>
      </c>
      <c r="B34" s="160" t="s">
        <v>183</v>
      </c>
      <c r="C34" s="142" t="str">
        <f>A7</f>
        <v>2:1/5%</v>
      </c>
      <c r="D34" s="142">
        <v>5</v>
      </c>
      <c r="E34" s="86">
        <v>-7.5999999999999998E-2</v>
      </c>
      <c r="F34" s="64">
        <v>3.4</v>
      </c>
      <c r="G34" s="131">
        <f>E34-((B7-1)*100)</f>
        <v>-0.14066999999998892</v>
      </c>
      <c r="H34" s="131">
        <f>F34+C7</f>
        <v>5.0229999999999997</v>
      </c>
      <c r="I34" s="132">
        <f t="shared" ref="I34:I35" si="12">1-(G34/100)</f>
        <v>1.0014067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5.0229999999999997</v>
      </c>
      <c r="P34" s="21">
        <f t="shared" si="3"/>
        <v>1.0014067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45965</v>
      </c>
      <c r="B35" s="160" t="s">
        <v>183</v>
      </c>
      <c r="C35" s="142" t="str">
        <f>A9</f>
        <v>2:1/20%</v>
      </c>
      <c r="D35" s="142">
        <v>5</v>
      </c>
      <c r="E35" s="86">
        <v>-0.09</v>
      </c>
      <c r="F35" s="64">
        <v>2.64</v>
      </c>
      <c r="G35" s="131">
        <f>E35-((B9-1)*100)</f>
        <v>-0.14100000000000104</v>
      </c>
      <c r="H35" s="131">
        <f>F35+C9</f>
        <v>3.47</v>
      </c>
      <c r="I35" s="132">
        <f t="shared" si="12"/>
        <v>1.0014099999999999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3.47</v>
      </c>
      <c r="R35" s="21">
        <f t="shared" si="10"/>
        <v>1.0014099999999999</v>
      </c>
    </row>
    <row r="36" spans="1:21" s="10" customFormat="1" ht="13.9" customHeight="1" x14ac:dyDescent="0.25">
      <c r="A36" s="161">
        <v>45965</v>
      </c>
      <c r="B36" s="160" t="s">
        <v>183</v>
      </c>
      <c r="C36" s="142" t="str">
        <f>A12</f>
        <v>2:1/100%</v>
      </c>
      <c r="D36" s="142">
        <v>5</v>
      </c>
      <c r="E36" s="86">
        <v>-6.7000000000000004E-2</v>
      </c>
      <c r="F36" s="64">
        <v>0.68</v>
      </c>
      <c r="G36" s="131">
        <f>E36-((B12-1)*100)</f>
        <v>-0.1090000000000087</v>
      </c>
      <c r="H36" s="131">
        <f>F36+C12</f>
        <v>1.36</v>
      </c>
      <c r="I36" s="132">
        <f>1-(G36/100)</f>
        <v>1.00109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1.36</v>
      </c>
      <c r="R36" s="21">
        <f t="shared" si="10"/>
        <v>1.00109</v>
      </c>
    </row>
    <row r="37" spans="1:21" s="10" customFormat="1" ht="13.9" customHeight="1" thickBot="1" x14ac:dyDescent="0.3">
      <c r="A37" s="165">
        <v>45965</v>
      </c>
      <c r="B37" s="166" t="s">
        <v>183</v>
      </c>
      <c r="C37" s="144" t="str">
        <f>A13</f>
        <v>2:1/120%</v>
      </c>
      <c r="D37" s="144">
        <v>5</v>
      </c>
      <c r="E37" s="126">
        <v>-5.8000000000000003E-2</v>
      </c>
      <c r="F37" s="127">
        <v>0.22</v>
      </c>
      <c r="G37" s="133">
        <f>E37-((B13-1)*100)</f>
        <v>-0.10099999999999304</v>
      </c>
      <c r="H37" s="133">
        <f>F37+C13</f>
        <v>0.89300000000000002</v>
      </c>
      <c r="I37" s="134">
        <f t="shared" ref="I37" si="13">1-(G37/100)</f>
        <v>1.00101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0.89300000000000002</v>
      </c>
      <c r="R37" s="148">
        <f>I37</f>
        <v>1.00101</v>
      </c>
    </row>
    <row r="38" spans="1:21" s="10" customFormat="1" ht="13.9" customHeight="1" thickTop="1" x14ac:dyDescent="0.25">
      <c r="A38" s="164">
        <v>45965</v>
      </c>
      <c r="B38" s="123" t="s">
        <v>184</v>
      </c>
      <c r="C38" s="145" t="str">
        <f>A6</f>
        <v>2:1/1%</v>
      </c>
      <c r="D38" s="145">
        <v>5</v>
      </c>
      <c r="E38" s="124">
        <v>-9.0999999999999998E-2</v>
      </c>
      <c r="F38" s="125">
        <v>5.24</v>
      </c>
      <c r="G38" s="135">
        <f>E38-((B6-1)*100)</f>
        <v>-0.17867000000000635</v>
      </c>
      <c r="H38" s="135">
        <f>F38+C6</f>
        <v>8.907</v>
      </c>
      <c r="I38" s="136">
        <f>1-(G38/100)</f>
        <v>1.0017867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8.907</v>
      </c>
      <c r="N38" s="21">
        <f t="shared" si="1"/>
        <v>1.0017867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45965</v>
      </c>
      <c r="B39" s="160" t="s">
        <v>184</v>
      </c>
      <c r="C39" s="142" t="str">
        <f>A7</f>
        <v>2:1/5%</v>
      </c>
      <c r="D39" s="142">
        <v>5</v>
      </c>
      <c r="E39" s="86">
        <v>-9.7000000000000003E-2</v>
      </c>
      <c r="F39" s="64">
        <v>5.46</v>
      </c>
      <c r="G39" s="131">
        <f>E39-((B7-1)*100)</f>
        <v>-0.16166999999998891</v>
      </c>
      <c r="H39" s="131">
        <f>F39+C7</f>
        <v>7.0830000000000002</v>
      </c>
      <c r="I39" s="132">
        <f t="shared" ref="I39:I40" si="14">1-(G39/100)</f>
        <v>1.0016166999999998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7.0830000000000002</v>
      </c>
      <c r="P39" s="21">
        <f t="shared" si="3"/>
        <v>1.0016166999999998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45965</v>
      </c>
      <c r="B40" s="160" t="s">
        <v>184</v>
      </c>
      <c r="C40" s="142" t="str">
        <f>A9</f>
        <v>2:1/20%</v>
      </c>
      <c r="D40" s="142">
        <v>5</v>
      </c>
      <c r="E40" s="86">
        <v>-0.11799999999999999</v>
      </c>
      <c r="F40" s="64">
        <v>3.8</v>
      </c>
      <c r="G40" s="131">
        <f>E40-((B9-1)*100)</f>
        <v>-0.16900000000000104</v>
      </c>
      <c r="H40" s="131">
        <f>F40+C9</f>
        <v>4.63</v>
      </c>
      <c r="I40" s="132">
        <f t="shared" si="14"/>
        <v>1.00169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4.63</v>
      </c>
      <c r="R40" s="21">
        <f t="shared" si="10"/>
        <v>1.00169</v>
      </c>
    </row>
    <row r="41" spans="1:21" s="10" customFormat="1" ht="13.9" customHeight="1" x14ac:dyDescent="0.25">
      <c r="A41" s="161">
        <v>45965</v>
      </c>
      <c r="B41" s="160" t="s">
        <v>184</v>
      </c>
      <c r="C41" s="142" t="str">
        <f>A12</f>
        <v>2:1/100%</v>
      </c>
      <c r="D41" s="142">
        <v>5</v>
      </c>
      <c r="E41" s="86">
        <v>-8.5999999999999993E-2</v>
      </c>
      <c r="F41" s="64">
        <v>0.7</v>
      </c>
      <c r="G41" s="131">
        <f>E41-((B12-1)*100)</f>
        <v>-0.12800000000000869</v>
      </c>
      <c r="H41" s="131">
        <f>F41+C12</f>
        <v>1.38</v>
      </c>
      <c r="I41" s="132">
        <f>1-(G41/100)</f>
        <v>1.0012800000000002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1.38</v>
      </c>
      <c r="R41" s="21">
        <f t="shared" si="10"/>
        <v>1.0012800000000002</v>
      </c>
    </row>
    <row r="42" spans="1:21" s="10" customFormat="1" ht="13.9" customHeight="1" thickBot="1" x14ac:dyDescent="0.3">
      <c r="A42" s="162">
        <v>45965</v>
      </c>
      <c r="B42" s="163" t="s">
        <v>184</v>
      </c>
      <c r="C42" s="146" t="str">
        <f>A13</f>
        <v>2:1/120%</v>
      </c>
      <c r="D42" s="146">
        <v>5</v>
      </c>
      <c r="E42" s="87">
        <v>-9.6000000000000002E-2</v>
      </c>
      <c r="F42" s="85">
        <v>0.93</v>
      </c>
      <c r="G42" s="137">
        <f>E42-((B13-1)*100)</f>
        <v>-0.13899999999999305</v>
      </c>
      <c r="H42" s="137">
        <f>F42+C13</f>
        <v>1.6030000000000002</v>
      </c>
      <c r="I42" s="138">
        <f t="shared" ref="I42" si="16">1-(G42/100)</f>
        <v>1.00139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1.6030000000000002</v>
      </c>
      <c r="R42" s="148">
        <f>I42</f>
        <v>1.00139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1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AEFA-F5EF-4AB4-B718-8BEA94DA7C42}">
  <dimension ref="A1:U43"/>
  <sheetViews>
    <sheetView showGridLines="0" view="pageBreakPreview" topLeftCell="A13" zoomScaleNormal="115" zoomScaleSheetLayoutView="100" workbookViewId="0">
      <selection activeCell="E28" sqref="E28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5">
      <c r="A1" s="188" t="s">
        <v>73</v>
      </c>
      <c r="B1" s="188"/>
      <c r="C1" s="188"/>
      <c r="D1" s="188"/>
      <c r="E1" s="188"/>
      <c r="F1" s="188"/>
      <c r="G1" s="188"/>
      <c r="H1" s="188"/>
      <c r="I1" s="188"/>
    </row>
    <row r="2" spans="1:21" s="10" customFormat="1" ht="12" thickBot="1" x14ac:dyDescent="0.3">
      <c r="D2" s="13"/>
      <c r="I2" s="21"/>
    </row>
    <row r="3" spans="1:21" s="10" customFormat="1" ht="12" thickBot="1" x14ac:dyDescent="0.3">
      <c r="A3" s="98"/>
      <c r="B3" s="99" t="s">
        <v>75</v>
      </c>
      <c r="C3" s="118" t="s">
        <v>118</v>
      </c>
      <c r="D3" s="22"/>
      <c r="I3" s="21"/>
    </row>
    <row r="4" spans="1:21" s="10" customFormat="1" ht="11.25" x14ac:dyDescent="0.25">
      <c r="A4" s="193" t="s">
        <v>40</v>
      </c>
      <c r="B4" s="194"/>
      <c r="C4" s="195"/>
      <c r="D4" s="22"/>
      <c r="I4" s="21"/>
    </row>
    <row r="5" spans="1:21" s="10" customFormat="1" ht="11.25" x14ac:dyDescent="0.25">
      <c r="A5" s="128" t="s">
        <v>74</v>
      </c>
      <c r="B5" s="45" t="s">
        <v>29</v>
      </c>
      <c r="C5" s="100" t="s">
        <v>70</v>
      </c>
      <c r="D5" s="13"/>
      <c r="E5" s="13"/>
      <c r="F5" s="13"/>
      <c r="G5" s="13"/>
      <c r="H5" s="20"/>
      <c r="I5" s="19"/>
      <c r="M5" s="44" t="s">
        <v>39</v>
      </c>
      <c r="N5" s="44" t="s">
        <v>37</v>
      </c>
      <c r="O5" s="44" t="s">
        <v>38</v>
      </c>
    </row>
    <row r="6" spans="1:21" s="10" customFormat="1" ht="11.25" x14ac:dyDescent="0.25">
      <c r="A6" s="120" t="s">
        <v>131</v>
      </c>
      <c r="B6" s="119">
        <f>1-(-0.08767/100)</f>
        <v>1.0008767000000001</v>
      </c>
      <c r="C6" s="155">
        <v>3.6669999999999998</v>
      </c>
      <c r="E6" s="13"/>
      <c r="F6" s="13"/>
      <c r="G6" s="13"/>
      <c r="H6" s="20"/>
      <c r="I6" s="19"/>
      <c r="M6" s="196" t="s">
        <v>88</v>
      </c>
      <c r="N6" s="196">
        <v>-1.5</v>
      </c>
      <c r="O6" s="196">
        <v>1.5</v>
      </c>
      <c r="P6" s="94" t="s">
        <v>50</v>
      </c>
      <c r="Q6" s="94">
        <v>90</v>
      </c>
      <c r="R6" s="94">
        <v>-90</v>
      </c>
      <c r="S6" s="94">
        <f>R6</f>
        <v>-90</v>
      </c>
      <c r="T6" s="94">
        <f>Q6</f>
        <v>90</v>
      </c>
      <c r="U6" s="94">
        <f>Q6</f>
        <v>90</v>
      </c>
    </row>
    <row r="7" spans="1:21" s="10" customFormat="1" ht="11.25" x14ac:dyDescent="0.25">
      <c r="A7" s="121" t="s">
        <v>132</v>
      </c>
      <c r="B7" s="119">
        <f>1-(-0.06467/100)</f>
        <v>1.0006466999999999</v>
      </c>
      <c r="C7" s="155">
        <v>1.623</v>
      </c>
      <c r="E7" s="13"/>
      <c r="F7" s="13"/>
      <c r="G7" s="13"/>
      <c r="H7" s="20"/>
      <c r="I7" s="19"/>
      <c r="M7" s="197"/>
      <c r="N7" s="197"/>
      <c r="O7" s="197"/>
      <c r="P7" s="94" t="s">
        <v>29</v>
      </c>
      <c r="Q7" s="94">
        <f>1-N6/100</f>
        <v>1.0149999999999999</v>
      </c>
      <c r="R7" s="94">
        <f>Q7</f>
        <v>1.0149999999999999</v>
      </c>
      <c r="S7" s="94">
        <f>1-O6/100</f>
        <v>0.98499999999999999</v>
      </c>
      <c r="T7" s="94">
        <f>S7</f>
        <v>0.98499999999999999</v>
      </c>
      <c r="U7" s="94">
        <f>R7</f>
        <v>1.0149999999999999</v>
      </c>
    </row>
    <row r="8" spans="1:21" s="10" customFormat="1" ht="11.25" x14ac:dyDescent="0.25">
      <c r="A8" s="121" t="s">
        <v>133</v>
      </c>
      <c r="B8" s="119">
        <f>1-(-0.05533/100)</f>
        <v>1.0005533</v>
      </c>
      <c r="C8" s="155">
        <v>1.07</v>
      </c>
      <c r="E8" s="13"/>
      <c r="F8" s="13"/>
      <c r="G8" s="13"/>
      <c r="H8" s="20"/>
      <c r="I8" s="19"/>
      <c r="M8" s="75"/>
      <c r="N8" s="75"/>
      <c r="O8" s="75"/>
      <c r="P8" s="42"/>
      <c r="Q8" s="44"/>
      <c r="R8" s="44"/>
      <c r="S8" s="44"/>
      <c r="T8" s="44"/>
      <c r="U8" s="44"/>
    </row>
    <row r="9" spans="1:21" s="10" customFormat="1" ht="11.25" x14ac:dyDescent="0.25">
      <c r="A9" s="121" t="s">
        <v>134</v>
      </c>
      <c r="B9" s="119">
        <f>1-(-0.051/100)</f>
        <v>1.00051</v>
      </c>
      <c r="C9" s="156">
        <v>0.83</v>
      </c>
      <c r="E9" s="13"/>
      <c r="F9" s="13"/>
      <c r="G9" s="13"/>
      <c r="H9" s="20"/>
      <c r="I9" s="19"/>
      <c r="M9" s="201" t="s">
        <v>89</v>
      </c>
      <c r="N9" s="201">
        <v>-0.75</v>
      </c>
      <c r="O9" s="201">
        <v>0.75</v>
      </c>
      <c r="P9" s="93" t="s">
        <v>50</v>
      </c>
      <c r="Q9" s="93">
        <v>45</v>
      </c>
      <c r="R9" s="93">
        <v>-45</v>
      </c>
      <c r="S9" s="93">
        <f>R9</f>
        <v>-45</v>
      </c>
      <c r="T9" s="93">
        <f>Q9</f>
        <v>45</v>
      </c>
      <c r="U9" s="93">
        <f>Q9</f>
        <v>45</v>
      </c>
    </row>
    <row r="10" spans="1:21" s="10" customFormat="1" ht="11.25" x14ac:dyDescent="0.25">
      <c r="A10" s="121" t="s">
        <v>135</v>
      </c>
      <c r="B10" s="119">
        <f>1-(-0.044/100)</f>
        <v>1.00044</v>
      </c>
      <c r="C10" s="156">
        <v>0.8</v>
      </c>
      <c r="E10" s="13"/>
      <c r="F10" s="13"/>
      <c r="G10" s="13"/>
      <c r="H10" s="20"/>
      <c r="I10" s="19"/>
      <c r="M10" s="202"/>
      <c r="N10" s="202"/>
      <c r="O10" s="202"/>
      <c r="P10" s="93" t="s">
        <v>29</v>
      </c>
      <c r="Q10" s="93">
        <f>1-N9/100</f>
        <v>1.0075000000000001</v>
      </c>
      <c r="R10" s="93">
        <f>Q10</f>
        <v>1.0075000000000001</v>
      </c>
      <c r="S10" s="93">
        <f>1-O9/100</f>
        <v>0.99250000000000005</v>
      </c>
      <c r="T10" s="93">
        <f>S10</f>
        <v>0.99250000000000005</v>
      </c>
      <c r="U10" s="93">
        <f>R10</f>
        <v>1.0075000000000001</v>
      </c>
    </row>
    <row r="11" spans="1:21" s="10" customFormat="1" ht="11.25" x14ac:dyDescent="0.25">
      <c r="A11" s="121" t="s">
        <v>136</v>
      </c>
      <c r="B11" s="119">
        <f>1-(-0.044/100)</f>
        <v>1.00044</v>
      </c>
      <c r="C11" s="156">
        <v>0.8</v>
      </c>
      <c r="E11" s="13"/>
      <c r="F11" s="13"/>
      <c r="G11" s="13"/>
      <c r="H11" s="20"/>
      <c r="I11" s="19"/>
      <c r="M11" s="75"/>
      <c r="N11" s="75"/>
      <c r="O11" s="75"/>
      <c r="P11" s="42"/>
      <c r="Q11" s="44"/>
      <c r="R11" s="44"/>
      <c r="S11" s="44"/>
      <c r="T11" s="44"/>
      <c r="U11" s="44"/>
    </row>
    <row r="12" spans="1:21" s="10" customFormat="1" ht="11.25" x14ac:dyDescent="0.25">
      <c r="A12" s="121" t="s">
        <v>137</v>
      </c>
      <c r="B12" s="119">
        <f>1-(-0.042/100)</f>
        <v>1.0004200000000001</v>
      </c>
      <c r="C12" s="156">
        <v>0.68</v>
      </c>
      <c r="E12" s="13"/>
      <c r="F12" s="13"/>
      <c r="G12" s="13"/>
      <c r="H12" s="20"/>
      <c r="I12" s="19"/>
      <c r="M12" s="203" t="s">
        <v>90</v>
      </c>
      <c r="N12" s="203">
        <v>-0.5</v>
      </c>
      <c r="O12" s="203">
        <v>0.5</v>
      </c>
      <c r="P12" s="92" t="s">
        <v>50</v>
      </c>
      <c r="Q12" s="92">
        <v>30</v>
      </c>
      <c r="R12" s="92">
        <v>-30</v>
      </c>
      <c r="S12" s="92">
        <f>R12</f>
        <v>-30</v>
      </c>
      <c r="T12" s="92">
        <f>Q12</f>
        <v>30</v>
      </c>
      <c r="U12" s="92">
        <f>Q12</f>
        <v>30</v>
      </c>
    </row>
    <row r="13" spans="1:21" s="10" customFormat="1" ht="11.25" x14ac:dyDescent="0.25">
      <c r="A13" s="121" t="s">
        <v>138</v>
      </c>
      <c r="B13" s="119">
        <f>1-(-0.043/100)</f>
        <v>1.0004299999999999</v>
      </c>
      <c r="C13" s="156">
        <v>0.67300000000000004</v>
      </c>
      <c r="E13" s="13"/>
      <c r="F13" s="13"/>
      <c r="G13" s="13"/>
      <c r="H13" s="20"/>
      <c r="I13" s="19"/>
      <c r="M13" s="204"/>
      <c r="N13" s="204"/>
      <c r="O13" s="204"/>
      <c r="P13" s="92" t="s">
        <v>29</v>
      </c>
      <c r="Q13" s="92">
        <f>1-N12/100</f>
        <v>1.0049999999999999</v>
      </c>
      <c r="R13" s="92">
        <f>Q13</f>
        <v>1.0049999999999999</v>
      </c>
      <c r="S13" s="92">
        <f>1-O12/100</f>
        <v>0.995</v>
      </c>
      <c r="T13" s="92">
        <f>S13</f>
        <v>0.995</v>
      </c>
      <c r="U13" s="92">
        <f>R13</f>
        <v>1.0049999999999999</v>
      </c>
    </row>
    <row r="14" spans="1:21" s="10" customFormat="1" ht="11.25" x14ac:dyDescent="0.25">
      <c r="A14" s="121" t="s">
        <v>139</v>
      </c>
      <c r="B14" s="119">
        <f>1-(-0.042/100)</f>
        <v>1.0004200000000001</v>
      </c>
      <c r="C14" s="155">
        <v>0.66</v>
      </c>
      <c r="E14" s="13"/>
      <c r="F14" s="13"/>
      <c r="G14" s="13"/>
      <c r="H14" s="20"/>
      <c r="I14" s="19"/>
      <c r="M14" s="44"/>
      <c r="N14" s="44"/>
      <c r="O14" s="44"/>
      <c r="P14" s="42"/>
      <c r="Q14" s="44"/>
      <c r="R14" s="44"/>
      <c r="S14" s="44"/>
      <c r="T14" s="44"/>
      <c r="U14" s="44"/>
    </row>
    <row r="15" spans="1:21" s="10" customFormat="1" ht="11.25" x14ac:dyDescent="0.25">
      <c r="A15" s="101"/>
      <c r="B15" s="157"/>
      <c r="C15" s="102"/>
      <c r="D15" s="13"/>
      <c r="E15" s="13"/>
      <c r="F15" s="13"/>
      <c r="G15" s="13"/>
      <c r="H15" s="20"/>
      <c r="I15" s="19"/>
    </row>
    <row r="16" spans="1:21" s="10" customFormat="1" ht="11.25" x14ac:dyDescent="0.25">
      <c r="A16" s="103" t="s">
        <v>67</v>
      </c>
      <c r="B16" s="67" t="s">
        <v>116</v>
      </c>
      <c r="C16" s="104" t="s">
        <v>117</v>
      </c>
      <c r="D16" s="13"/>
      <c r="E16" s="13"/>
      <c r="F16" s="13"/>
      <c r="G16" s="13"/>
      <c r="H16" s="20"/>
      <c r="I16" s="19"/>
    </row>
    <row r="17" spans="1:21" s="10" customFormat="1" ht="11.25" x14ac:dyDescent="0.25">
      <c r="A17" s="105"/>
      <c r="C17" s="106"/>
      <c r="G17" s="18"/>
      <c r="H17" s="18"/>
      <c r="I17" s="17"/>
    </row>
    <row r="18" spans="1:21" s="10" customFormat="1" ht="11.25" x14ac:dyDescent="0.25">
      <c r="A18" s="198" t="s">
        <v>43</v>
      </c>
      <c r="B18" s="199"/>
      <c r="C18" s="200"/>
      <c r="D18" s="16"/>
      <c r="E18" s="16"/>
      <c r="F18" s="16"/>
      <c r="G18" s="13"/>
      <c r="H18" s="13"/>
      <c r="I18" s="15"/>
    </row>
    <row r="19" spans="1:21" s="10" customFormat="1" ht="11.25" x14ac:dyDescent="0.25">
      <c r="A19" s="107" t="s">
        <v>41</v>
      </c>
      <c r="B19" s="23"/>
      <c r="C19" s="108" t="s">
        <v>114</v>
      </c>
      <c r="G19" s="13"/>
      <c r="H19" s="14"/>
      <c r="I19" s="12"/>
    </row>
    <row r="20" spans="1:21" s="10" customFormat="1" ht="12" thickBot="1" x14ac:dyDescent="0.3">
      <c r="A20" s="109" t="s">
        <v>42</v>
      </c>
      <c r="B20" s="110"/>
      <c r="C20" s="111" t="s">
        <v>115</v>
      </c>
      <c r="G20" s="13"/>
      <c r="H20" s="14"/>
      <c r="I20" s="12"/>
    </row>
    <row r="21" spans="1:21" s="10" customFormat="1" ht="12" thickBot="1" x14ac:dyDescent="0.3">
      <c r="E21" s="13"/>
      <c r="G21" s="13"/>
      <c r="H21" s="14"/>
      <c r="I21" s="12"/>
    </row>
    <row r="22" spans="1:21" s="10" customFormat="1" ht="11.25" x14ac:dyDescent="0.25">
      <c r="A22" s="112" t="s">
        <v>63</v>
      </c>
      <c r="B22" s="113"/>
      <c r="C22" s="114">
        <v>21.5</v>
      </c>
      <c r="E22" s="13"/>
      <c r="G22" s="13"/>
      <c r="H22" s="14"/>
      <c r="I22" s="12"/>
    </row>
    <row r="23" spans="1:21" s="10" customFormat="1" ht="12.75" customHeight="1" thickBot="1" x14ac:dyDescent="0.3">
      <c r="A23" s="115" t="s">
        <v>49</v>
      </c>
      <c r="B23" s="116"/>
      <c r="C23" s="117">
        <v>36</v>
      </c>
      <c r="E23" s="13"/>
      <c r="G23" s="13"/>
      <c r="H23" s="14"/>
      <c r="I23" s="12"/>
      <c r="M23" s="8"/>
      <c r="N23" s="8"/>
      <c r="O23" s="8"/>
      <c r="P23" s="8"/>
      <c r="Q23" s="8"/>
      <c r="R23" s="8"/>
      <c r="S23" s="8"/>
      <c r="T23" s="8"/>
      <c r="U23" s="8"/>
    </row>
    <row r="24" spans="1:21" s="10" customFormat="1" ht="11.25" x14ac:dyDescent="0.25">
      <c r="G24" s="13"/>
      <c r="H24" s="13"/>
      <c r="I24" s="12"/>
    </row>
    <row r="25" spans="1:21" s="8" customFormat="1" ht="19.899999999999999" customHeight="1" x14ac:dyDescent="0.25">
      <c r="A25" s="188" t="s">
        <v>64</v>
      </c>
      <c r="B25" s="188"/>
      <c r="C25" s="188"/>
      <c r="D25" s="188"/>
      <c r="E25" s="188"/>
      <c r="F25" s="188"/>
      <c r="G25" s="188"/>
      <c r="H25" s="188"/>
      <c r="I25" s="188"/>
      <c r="M25" s="10"/>
      <c r="N25" s="10"/>
      <c r="O25" s="10"/>
      <c r="P25" s="10"/>
      <c r="Q25" s="10"/>
      <c r="R25" s="10"/>
      <c r="S25" s="10"/>
      <c r="T25" s="10"/>
      <c r="U25" s="10"/>
    </row>
    <row r="26" spans="1:21" s="10" customFormat="1" x14ac:dyDescent="0.25">
      <c r="A26" s="189" t="s">
        <v>66</v>
      </c>
      <c r="B26" s="191" t="s">
        <v>84</v>
      </c>
      <c r="C26" s="65" t="s">
        <v>36</v>
      </c>
      <c r="D26" s="43" t="s">
        <v>35</v>
      </c>
      <c r="E26" s="191" t="s">
        <v>34</v>
      </c>
      <c r="F26" s="191"/>
      <c r="G26" s="191" t="s">
        <v>33</v>
      </c>
      <c r="H26" s="191"/>
      <c r="I26" s="191" t="s">
        <v>29</v>
      </c>
    </row>
    <row r="27" spans="1:21" s="10" customFormat="1" ht="13.5" thickBot="1" x14ac:dyDescent="0.3">
      <c r="A27" s="190"/>
      <c r="B27" s="192"/>
      <c r="C27" s="91" t="s">
        <v>32</v>
      </c>
      <c r="D27" s="91" t="s">
        <v>31</v>
      </c>
      <c r="E27" s="91" t="s">
        <v>30</v>
      </c>
      <c r="F27" s="95" t="s">
        <v>70</v>
      </c>
      <c r="G27" s="91" t="s">
        <v>30</v>
      </c>
      <c r="H27" s="95" t="s">
        <v>70</v>
      </c>
      <c r="I27" s="192"/>
      <c r="M27" s="74" t="s">
        <v>91</v>
      </c>
      <c r="N27" s="68"/>
      <c r="O27" s="74" t="s">
        <v>92</v>
      </c>
      <c r="P27" s="68"/>
      <c r="Q27" s="69" t="s">
        <v>93</v>
      </c>
      <c r="R27" s="68"/>
    </row>
    <row r="28" spans="1:21" s="10" customFormat="1" ht="13.9" customHeight="1" x14ac:dyDescent="0.25">
      <c r="A28" s="122">
        <v>45957</v>
      </c>
      <c r="B28" s="159" t="s">
        <v>185</v>
      </c>
      <c r="C28" s="139" t="str">
        <f>A6</f>
        <v>2:1/1%</v>
      </c>
      <c r="D28" s="140">
        <v>5</v>
      </c>
      <c r="E28" s="96"/>
      <c r="F28" s="97"/>
      <c r="G28" s="129">
        <f>E28-((B6-1)*100)</f>
        <v>-8.7670000000006354E-2</v>
      </c>
      <c r="H28" s="129">
        <f>F28+C6</f>
        <v>3.6669999999999998</v>
      </c>
      <c r="I28" s="130">
        <f>1-(G28/100)</f>
        <v>1.0008767000000001</v>
      </c>
      <c r="J28" s="11" t="e">
        <f>IF(K28=1,26*(#REF!+ABS(G28)),26*(#REF!-ABS(G28)))</f>
        <v>#REF!</v>
      </c>
      <c r="K28" s="11">
        <f>IF(G28&gt;0,IF(H28&gt;0,1,0),IF(H28&gt;0,1,0))</f>
        <v>1</v>
      </c>
      <c r="M28" s="76">
        <f t="shared" ref="M28:M42" si="0">IFERROR(VLOOKUP($A$6,C28:I28,6,0),0)</f>
        <v>3.6669999999999998</v>
      </c>
      <c r="N28" s="21">
        <f t="shared" ref="N28:N42" si="1">IFERROR(VLOOKUP($A$6,C28:I28,7,0),0)</f>
        <v>1.0008767000000001</v>
      </c>
      <c r="O28" s="76">
        <f t="shared" ref="O28:O42" si="2">IFERROR(VLOOKUP($A$7,C28:I28,6,0),0)</f>
        <v>0</v>
      </c>
      <c r="P28" s="21">
        <f t="shared" ref="P28:P42" si="3">IFERROR(VLOOKUP($A$7,C28:I28,7,0),0)</f>
        <v>0</v>
      </c>
      <c r="Q28" s="76">
        <f>IFERROR(VLOOKUP($A$9,C28:I28,6,0),IFERROR(VLOOKUP($A$12,C28:I28,6,0),IFERROR(VLOOKUP($A$14,C28:I28,6,0),0)))</f>
        <v>0</v>
      </c>
      <c r="R28" s="21">
        <f>IFERROR(VLOOKUP($A$9,C28:I28,7,0),IFERROR(VLOOKUP($A$12,C28:I28,7,0),IFERROR(VLOOKUP($A$14,C28:I28,7,0),0)))</f>
        <v>0</v>
      </c>
    </row>
    <row r="29" spans="1:21" s="10" customFormat="1" ht="13.9" customHeight="1" x14ac:dyDescent="0.25">
      <c r="A29" s="161">
        <v>45957</v>
      </c>
      <c r="B29" s="160" t="s">
        <v>185</v>
      </c>
      <c r="C29" s="141" t="str">
        <f t="shared" ref="C29" si="4">A7</f>
        <v>2:1/5%</v>
      </c>
      <c r="D29" s="142">
        <v>5</v>
      </c>
      <c r="E29" s="86"/>
      <c r="F29" s="64"/>
      <c r="G29" s="131">
        <f t="shared" ref="G29" si="5">E29-((B7-1)*100)</f>
        <v>-6.4669999999988903E-2</v>
      </c>
      <c r="H29" s="131">
        <f t="shared" ref="H29" si="6">F29+C7</f>
        <v>1.623</v>
      </c>
      <c r="I29" s="132">
        <f t="shared" ref="I29:I30" si="7">1-(G29/100)</f>
        <v>1.0006466999999999</v>
      </c>
      <c r="J29" s="11" t="e">
        <f>IF(K29=1,26*(#REF!+ABS(G29)),26*(#REF!-ABS(G29)))</f>
        <v>#REF!</v>
      </c>
      <c r="K29" s="11">
        <f t="shared" ref="K29:K37" si="8">IF(G29&gt;0,IF(H29&gt;0,1,0),IF(H29&gt;0,1,0))</f>
        <v>1</v>
      </c>
      <c r="M29" s="76">
        <f t="shared" si="0"/>
        <v>0</v>
      </c>
      <c r="N29" s="21">
        <f t="shared" si="1"/>
        <v>0</v>
      </c>
      <c r="O29" s="76">
        <f t="shared" si="2"/>
        <v>1.623</v>
      </c>
      <c r="P29" s="21">
        <f t="shared" si="3"/>
        <v>1.0006466999999999</v>
      </c>
      <c r="Q29" s="76">
        <f>IFERROR(VLOOKUP($A$9,C29:I29,6,0),IFERROR(VLOOKUP($A$12,C29:I29,6,0),IFERROR(VLOOKUP($A$14,C29:I29,6,0),0)))</f>
        <v>0</v>
      </c>
      <c r="R29" s="21">
        <f>IFERROR(VLOOKUP($A$9,C29:I29,7,0),IFERROR(VLOOKUP($A$12,C29:I29,7,0),IFERROR(VLOOKUP($A$14,C29:I29,7,0),0)))</f>
        <v>0</v>
      </c>
    </row>
    <row r="30" spans="1:21" s="10" customFormat="1" ht="13.9" customHeight="1" x14ac:dyDescent="0.25">
      <c r="A30" s="161">
        <v>45957</v>
      </c>
      <c r="B30" s="160" t="s">
        <v>185</v>
      </c>
      <c r="C30" s="141" t="str">
        <f>A9</f>
        <v>2:1/20%</v>
      </c>
      <c r="D30" s="142">
        <v>5</v>
      </c>
      <c r="E30" s="86"/>
      <c r="F30" s="64"/>
      <c r="G30" s="131">
        <f>E30-((B9-1)*100)</f>
        <v>-5.1000000000001044E-2</v>
      </c>
      <c r="H30" s="131">
        <f>F30+C9</f>
        <v>0.83</v>
      </c>
      <c r="I30" s="132">
        <f t="shared" si="7"/>
        <v>1.00051</v>
      </c>
      <c r="J30" s="11" t="e">
        <f>IF(K30=1,26*(#REF!+ABS(G30)),26*(#REF!-ABS(G30)))</f>
        <v>#REF!</v>
      </c>
      <c r="K30" s="11">
        <f t="shared" si="8"/>
        <v>1</v>
      </c>
      <c r="M30" s="76">
        <f t="shared" si="0"/>
        <v>0</v>
      </c>
      <c r="N30" s="21">
        <f t="shared" si="1"/>
        <v>0</v>
      </c>
      <c r="O30" s="76">
        <f t="shared" si="2"/>
        <v>0</v>
      </c>
      <c r="P30" s="21">
        <f t="shared" si="3"/>
        <v>0</v>
      </c>
      <c r="Q30" s="76">
        <f>IFERROR(VLOOKUP($A$9,C30:I30,6,0),IFERROR(VLOOKUP($A$12,C30:I30,6,0),IFERROR(VLOOKUP($A$14,C30:I30,6,0),0)))</f>
        <v>0.83</v>
      </c>
      <c r="R30" s="21">
        <f>IFERROR(VLOOKUP($A$9,C30:I30,7,0),IFERROR(VLOOKUP($A$12,C30:I30,7,0),IFERROR(VLOOKUP($A$14,C30:I30,7,0),0)))</f>
        <v>1.00051</v>
      </c>
    </row>
    <row r="31" spans="1:21" s="10" customFormat="1" ht="13.9" customHeight="1" x14ac:dyDescent="0.25">
      <c r="A31" s="161">
        <v>45957</v>
      </c>
      <c r="B31" s="160" t="s">
        <v>185</v>
      </c>
      <c r="C31" s="141" t="str">
        <f>A12</f>
        <v>2:1/100%</v>
      </c>
      <c r="D31" s="142">
        <v>5</v>
      </c>
      <c r="E31" s="86"/>
      <c r="F31" s="64"/>
      <c r="G31" s="131">
        <f>E31-((B12-1)*100)</f>
        <v>-4.2000000000008697E-2</v>
      </c>
      <c r="H31" s="131">
        <f>F31+C12</f>
        <v>0.68</v>
      </c>
      <c r="I31" s="132">
        <f>1-(G31/100)</f>
        <v>1.0004200000000001</v>
      </c>
      <c r="J31" s="11" t="e">
        <f>IF(K31=1,26*(#REF!+ABS(G31)),26*(#REF!-ABS(G31)))</f>
        <v>#REF!</v>
      </c>
      <c r="K31" s="11">
        <f t="shared" si="8"/>
        <v>1</v>
      </c>
      <c r="M31" s="76">
        <f t="shared" si="0"/>
        <v>0</v>
      </c>
      <c r="N31" s="21">
        <f t="shared" si="1"/>
        <v>0</v>
      </c>
      <c r="O31" s="76">
        <f t="shared" si="2"/>
        <v>0</v>
      </c>
      <c r="P31" s="21">
        <f t="shared" si="3"/>
        <v>0</v>
      </c>
      <c r="Q31" s="76">
        <f t="shared" ref="Q31:Q41" si="9">IFERROR(VLOOKUP($A$9,C31:I31,6,0),IFERROR(VLOOKUP($A$12,C31:I31,6,0),IFERROR(VLOOKUP($A$14,C31:I31,6,0),0)))</f>
        <v>0.68</v>
      </c>
      <c r="R31" s="21">
        <f t="shared" ref="R31:R41" si="10">IFERROR(VLOOKUP($A$9,C31:I31,7,0),IFERROR(VLOOKUP($A$12,C31:I31,7,0),IFERROR(VLOOKUP($A$14,C31:I31,7,0),0)))</f>
        <v>1.0004200000000001</v>
      </c>
    </row>
    <row r="32" spans="1:21" s="10" customFormat="1" ht="13.9" customHeight="1" thickBot="1" x14ac:dyDescent="0.3">
      <c r="A32" s="165">
        <v>45957</v>
      </c>
      <c r="B32" s="166" t="s">
        <v>185</v>
      </c>
      <c r="C32" s="143" t="str">
        <f>A13</f>
        <v>2:1/120%</v>
      </c>
      <c r="D32" s="144">
        <v>5</v>
      </c>
      <c r="E32" s="126"/>
      <c r="F32" s="127"/>
      <c r="G32" s="133">
        <f>E32-((B13-1)*100)</f>
        <v>-4.2999999999993044E-2</v>
      </c>
      <c r="H32" s="133">
        <f>F32+C13</f>
        <v>0.67300000000000004</v>
      </c>
      <c r="I32" s="134">
        <f t="shared" ref="I32" si="11">1-(G32/100)</f>
        <v>1.0004299999999999</v>
      </c>
      <c r="J32" s="11" t="e">
        <f>IF(K32=1,26*(#REF!+ABS(G32)),26*(#REF!-ABS(G32)))</f>
        <v>#REF!</v>
      </c>
      <c r="K32" s="11">
        <f t="shared" si="8"/>
        <v>1</v>
      </c>
      <c r="M32" s="76">
        <f t="shared" si="0"/>
        <v>0</v>
      </c>
      <c r="N32" s="21">
        <f t="shared" si="1"/>
        <v>0</v>
      </c>
      <c r="O32" s="76">
        <f t="shared" si="2"/>
        <v>0</v>
      </c>
      <c r="P32" s="21">
        <f t="shared" si="3"/>
        <v>0</v>
      </c>
      <c r="Q32" s="147">
        <f>H32</f>
        <v>0.67300000000000004</v>
      </c>
      <c r="R32" s="148">
        <f>I32</f>
        <v>1.0004299999999999</v>
      </c>
    </row>
    <row r="33" spans="1:21" s="10" customFormat="1" ht="13.9" customHeight="1" thickTop="1" x14ac:dyDescent="0.25">
      <c r="A33" s="164">
        <v>45957</v>
      </c>
      <c r="B33" s="123" t="s">
        <v>186</v>
      </c>
      <c r="C33" s="145" t="str">
        <f>A6</f>
        <v>2:1/1%</v>
      </c>
      <c r="D33" s="145">
        <v>5</v>
      </c>
      <c r="E33" s="124"/>
      <c r="F33" s="125"/>
      <c r="G33" s="135">
        <f>E33-((B6-1)*100)</f>
        <v>-8.7670000000006354E-2</v>
      </c>
      <c r="H33" s="135">
        <f>F33+C6</f>
        <v>3.6669999999999998</v>
      </c>
      <c r="I33" s="136">
        <f>1-(G33/100)</f>
        <v>1.0008767000000001</v>
      </c>
      <c r="J33" s="11" t="e">
        <f>IF(K33=1,26*(#REF!+ABS(G33)),26*(#REF!-ABS(G33)))</f>
        <v>#REF!</v>
      </c>
      <c r="K33" s="11">
        <f t="shared" si="8"/>
        <v>1</v>
      </c>
      <c r="M33" s="76">
        <f t="shared" si="0"/>
        <v>3.6669999999999998</v>
      </c>
      <c r="N33" s="21">
        <f t="shared" si="1"/>
        <v>1.0008767000000001</v>
      </c>
      <c r="O33" s="76">
        <f t="shared" si="2"/>
        <v>0</v>
      </c>
      <c r="P33" s="21">
        <f t="shared" si="3"/>
        <v>0</v>
      </c>
      <c r="Q33" s="76">
        <f t="shared" si="9"/>
        <v>0</v>
      </c>
      <c r="R33" s="21">
        <f t="shared" si="10"/>
        <v>0</v>
      </c>
    </row>
    <row r="34" spans="1:21" s="10" customFormat="1" ht="13.9" customHeight="1" x14ac:dyDescent="0.25">
      <c r="A34" s="161">
        <v>45957</v>
      </c>
      <c r="B34" s="160" t="s">
        <v>186</v>
      </c>
      <c r="C34" s="142" t="str">
        <f>A7</f>
        <v>2:1/5%</v>
      </c>
      <c r="D34" s="142">
        <v>5</v>
      </c>
      <c r="E34" s="86"/>
      <c r="F34" s="64"/>
      <c r="G34" s="131">
        <f>E34-((B7-1)*100)</f>
        <v>-6.4669999999988903E-2</v>
      </c>
      <c r="H34" s="131">
        <f>F34+C7</f>
        <v>1.623</v>
      </c>
      <c r="I34" s="132">
        <f t="shared" ref="I34:I35" si="12">1-(G34/100)</f>
        <v>1.0006466999999999</v>
      </c>
      <c r="J34" s="11" t="e">
        <f>IF(K34=1,26*(#REF!+ABS(G34)),26*(#REF!-ABS(G34)))</f>
        <v>#REF!</v>
      </c>
      <c r="K34" s="11">
        <f t="shared" si="8"/>
        <v>1</v>
      </c>
      <c r="M34" s="76">
        <f t="shared" si="0"/>
        <v>0</v>
      </c>
      <c r="N34" s="21">
        <f t="shared" si="1"/>
        <v>0</v>
      </c>
      <c r="O34" s="76">
        <f t="shared" si="2"/>
        <v>1.623</v>
      </c>
      <c r="P34" s="21">
        <f t="shared" si="3"/>
        <v>1.0006466999999999</v>
      </c>
      <c r="Q34" s="76">
        <f t="shared" si="9"/>
        <v>0</v>
      </c>
      <c r="R34" s="21">
        <f t="shared" si="10"/>
        <v>0</v>
      </c>
    </row>
    <row r="35" spans="1:21" s="10" customFormat="1" ht="13.9" customHeight="1" x14ac:dyDescent="0.25">
      <c r="A35" s="161">
        <v>45957</v>
      </c>
      <c r="B35" s="160" t="s">
        <v>186</v>
      </c>
      <c r="C35" s="142" t="str">
        <f>A9</f>
        <v>2:1/20%</v>
      </c>
      <c r="D35" s="142">
        <v>5</v>
      </c>
      <c r="E35" s="86"/>
      <c r="F35" s="64"/>
      <c r="G35" s="131">
        <f>E35-((B9-1)*100)</f>
        <v>-5.1000000000001044E-2</v>
      </c>
      <c r="H35" s="131">
        <f>F35+C9</f>
        <v>0.83</v>
      </c>
      <c r="I35" s="132">
        <f t="shared" si="12"/>
        <v>1.00051</v>
      </c>
      <c r="J35" s="11" t="e">
        <f>IF(K35=1,26*(#REF!+ABS(G35)),26*(#REF!-ABS(G35)))</f>
        <v>#REF!</v>
      </c>
      <c r="K35" s="11">
        <f t="shared" si="8"/>
        <v>1</v>
      </c>
      <c r="M35" s="76">
        <f t="shared" si="0"/>
        <v>0</v>
      </c>
      <c r="N35" s="21">
        <f t="shared" si="1"/>
        <v>0</v>
      </c>
      <c r="O35" s="76">
        <f t="shared" si="2"/>
        <v>0</v>
      </c>
      <c r="P35" s="21">
        <f t="shared" si="3"/>
        <v>0</v>
      </c>
      <c r="Q35" s="76">
        <f t="shared" si="9"/>
        <v>0.83</v>
      </c>
      <c r="R35" s="21">
        <f t="shared" si="10"/>
        <v>1.00051</v>
      </c>
    </row>
    <row r="36" spans="1:21" s="10" customFormat="1" ht="13.9" customHeight="1" x14ac:dyDescent="0.25">
      <c r="A36" s="161">
        <v>45957</v>
      </c>
      <c r="B36" s="160" t="s">
        <v>186</v>
      </c>
      <c r="C36" s="142" t="str">
        <f>A12</f>
        <v>2:1/100%</v>
      </c>
      <c r="D36" s="142">
        <v>5</v>
      </c>
      <c r="E36" s="86"/>
      <c r="F36" s="64"/>
      <c r="G36" s="131">
        <f>E36-((B12-1)*100)</f>
        <v>-4.2000000000008697E-2</v>
      </c>
      <c r="H36" s="131">
        <f>F36+C12</f>
        <v>0.68</v>
      </c>
      <c r="I36" s="132">
        <f>1-(G36/100)</f>
        <v>1.0004200000000001</v>
      </c>
      <c r="J36" s="11" t="e">
        <f>IF(K36=1,26*(#REF!+ABS(G36)),26*(#REF!-ABS(G36)))</f>
        <v>#REF!</v>
      </c>
      <c r="K36" s="11">
        <f t="shared" si="8"/>
        <v>1</v>
      </c>
      <c r="M36" s="76">
        <f t="shared" si="0"/>
        <v>0</v>
      </c>
      <c r="N36" s="21">
        <f t="shared" si="1"/>
        <v>0</v>
      </c>
      <c r="O36" s="76">
        <f t="shared" si="2"/>
        <v>0</v>
      </c>
      <c r="P36" s="21">
        <f t="shared" si="3"/>
        <v>0</v>
      </c>
      <c r="Q36" s="76">
        <f t="shared" si="9"/>
        <v>0.68</v>
      </c>
      <c r="R36" s="21">
        <f t="shared" si="10"/>
        <v>1.0004200000000001</v>
      </c>
    </row>
    <row r="37" spans="1:21" s="10" customFormat="1" ht="13.9" customHeight="1" thickBot="1" x14ac:dyDescent="0.3">
      <c r="A37" s="165">
        <v>45957</v>
      </c>
      <c r="B37" s="166" t="s">
        <v>186</v>
      </c>
      <c r="C37" s="144" t="str">
        <f>A13</f>
        <v>2:1/120%</v>
      </c>
      <c r="D37" s="144">
        <v>5</v>
      </c>
      <c r="E37" s="126"/>
      <c r="F37" s="127"/>
      <c r="G37" s="133">
        <f>E37-((B13-1)*100)</f>
        <v>-4.2999999999993044E-2</v>
      </c>
      <c r="H37" s="133">
        <f>F37+C13</f>
        <v>0.67300000000000004</v>
      </c>
      <c r="I37" s="134">
        <f t="shared" ref="I37" si="13">1-(G37/100)</f>
        <v>1.0004299999999999</v>
      </c>
      <c r="J37" s="11" t="e">
        <f>IF(K37=1,26*(#REF!+ABS(G37)),26*(#REF!-ABS(G37)))</f>
        <v>#REF!</v>
      </c>
      <c r="K37" s="11">
        <f t="shared" si="8"/>
        <v>1</v>
      </c>
      <c r="M37" s="76">
        <f t="shared" si="0"/>
        <v>0</v>
      </c>
      <c r="N37" s="21">
        <f t="shared" si="1"/>
        <v>0</v>
      </c>
      <c r="O37" s="76">
        <f t="shared" si="2"/>
        <v>0</v>
      </c>
      <c r="P37" s="21">
        <f t="shared" si="3"/>
        <v>0</v>
      </c>
      <c r="Q37" s="147">
        <f>H37</f>
        <v>0.67300000000000004</v>
      </c>
      <c r="R37" s="148">
        <f>I37</f>
        <v>1.0004299999999999</v>
      </c>
    </row>
    <row r="38" spans="1:21" s="10" customFormat="1" ht="13.9" customHeight="1" thickTop="1" x14ac:dyDescent="0.25">
      <c r="A38" s="164">
        <v>45957</v>
      </c>
      <c r="B38" s="123" t="s">
        <v>187</v>
      </c>
      <c r="C38" s="145" t="str">
        <f>A6</f>
        <v>2:1/1%</v>
      </c>
      <c r="D38" s="145">
        <v>5</v>
      </c>
      <c r="E38" s="124"/>
      <c r="F38" s="125"/>
      <c r="G38" s="135">
        <f>E38-((B6-1)*100)</f>
        <v>-8.7670000000006354E-2</v>
      </c>
      <c r="H38" s="135">
        <f>F38+C6</f>
        <v>3.6669999999999998</v>
      </c>
      <c r="I38" s="136">
        <f>1-(G38/100)</f>
        <v>1.0008767000000001</v>
      </c>
      <c r="J38" s="11" t="e">
        <f>IF(K38=1,26*(#REF!+ABS(G38)),26*(#REF!-ABS(G38)))</f>
        <v>#REF!</v>
      </c>
      <c r="K38" s="11">
        <f>IF(G38&gt;0,IF(H38&gt;0,1,0),IF(H38&gt;0,1,0))</f>
        <v>1</v>
      </c>
      <c r="M38" s="76">
        <f t="shared" si="0"/>
        <v>3.6669999999999998</v>
      </c>
      <c r="N38" s="21">
        <f t="shared" si="1"/>
        <v>1.0008767000000001</v>
      </c>
      <c r="O38" s="76">
        <f t="shared" si="2"/>
        <v>0</v>
      </c>
      <c r="P38" s="21">
        <f t="shared" si="3"/>
        <v>0</v>
      </c>
      <c r="Q38" s="76">
        <f t="shared" si="9"/>
        <v>0</v>
      </c>
      <c r="R38" s="21">
        <f t="shared" si="10"/>
        <v>0</v>
      </c>
    </row>
    <row r="39" spans="1:21" s="10" customFormat="1" ht="13.9" customHeight="1" x14ac:dyDescent="0.25">
      <c r="A39" s="161">
        <v>45957</v>
      </c>
      <c r="B39" s="160" t="s">
        <v>187</v>
      </c>
      <c r="C39" s="142" t="str">
        <f>A7</f>
        <v>2:1/5%</v>
      </c>
      <c r="D39" s="142">
        <v>5</v>
      </c>
      <c r="E39" s="86"/>
      <c r="F39" s="64"/>
      <c r="G39" s="131">
        <f>E39-((B7-1)*100)</f>
        <v>-6.4669999999988903E-2</v>
      </c>
      <c r="H39" s="131">
        <f>F39+C7</f>
        <v>1.623</v>
      </c>
      <c r="I39" s="132">
        <f t="shared" ref="I39:I40" si="14">1-(G39/100)</f>
        <v>1.0006466999999999</v>
      </c>
      <c r="J39" s="11" t="e">
        <f>IF(K39=1,26*(#REF!+ABS(G39)),26*(#REF!-ABS(G39)))</f>
        <v>#REF!</v>
      </c>
      <c r="K39" s="11">
        <f t="shared" ref="K39:K42" si="15">IF(G39&gt;0,IF(H39&gt;0,1,0),IF(H39&gt;0,1,0))</f>
        <v>1</v>
      </c>
      <c r="M39" s="76">
        <f t="shared" si="0"/>
        <v>0</v>
      </c>
      <c r="N39" s="21">
        <f t="shared" si="1"/>
        <v>0</v>
      </c>
      <c r="O39" s="76">
        <f t="shared" si="2"/>
        <v>1.623</v>
      </c>
      <c r="P39" s="21">
        <f t="shared" si="3"/>
        <v>1.0006466999999999</v>
      </c>
      <c r="Q39" s="76">
        <f t="shared" si="9"/>
        <v>0</v>
      </c>
      <c r="R39" s="21">
        <f t="shared" si="10"/>
        <v>0</v>
      </c>
    </row>
    <row r="40" spans="1:21" s="10" customFormat="1" ht="13.9" customHeight="1" x14ac:dyDescent="0.25">
      <c r="A40" s="161">
        <v>45957</v>
      </c>
      <c r="B40" s="160" t="s">
        <v>187</v>
      </c>
      <c r="C40" s="142" t="str">
        <f>A9</f>
        <v>2:1/20%</v>
      </c>
      <c r="D40" s="142">
        <v>5</v>
      </c>
      <c r="E40" s="86"/>
      <c r="F40" s="64"/>
      <c r="G40" s="131">
        <f>E40-((B9-1)*100)</f>
        <v>-5.1000000000001044E-2</v>
      </c>
      <c r="H40" s="131">
        <f>F40+C9</f>
        <v>0.83</v>
      </c>
      <c r="I40" s="132">
        <f t="shared" si="14"/>
        <v>1.00051</v>
      </c>
      <c r="J40" s="11" t="e">
        <f>IF(K40=1,26*(#REF!+ABS(G40)),26*(#REF!-ABS(G40)))</f>
        <v>#REF!</v>
      </c>
      <c r="K40" s="11">
        <f t="shared" si="15"/>
        <v>1</v>
      </c>
      <c r="M40" s="76">
        <f t="shared" si="0"/>
        <v>0</v>
      </c>
      <c r="N40" s="21">
        <f t="shared" si="1"/>
        <v>0</v>
      </c>
      <c r="O40" s="76">
        <f t="shared" si="2"/>
        <v>0</v>
      </c>
      <c r="P40" s="21">
        <f t="shared" si="3"/>
        <v>0</v>
      </c>
      <c r="Q40" s="76">
        <f t="shared" si="9"/>
        <v>0.83</v>
      </c>
      <c r="R40" s="21">
        <f t="shared" si="10"/>
        <v>1.00051</v>
      </c>
    </row>
    <row r="41" spans="1:21" s="10" customFormat="1" ht="13.9" customHeight="1" x14ac:dyDescent="0.25">
      <c r="A41" s="161">
        <v>45957</v>
      </c>
      <c r="B41" s="160" t="s">
        <v>187</v>
      </c>
      <c r="C41" s="142" t="str">
        <f>A12</f>
        <v>2:1/100%</v>
      </c>
      <c r="D41" s="142">
        <v>5</v>
      </c>
      <c r="E41" s="86"/>
      <c r="F41" s="64"/>
      <c r="G41" s="131">
        <f>E41-((B12-1)*100)</f>
        <v>-4.2000000000008697E-2</v>
      </c>
      <c r="H41" s="131">
        <f>F41+C12</f>
        <v>0.68</v>
      </c>
      <c r="I41" s="132">
        <f>1-(G41/100)</f>
        <v>1.0004200000000001</v>
      </c>
      <c r="J41" s="11" t="e">
        <f>IF(K41=1,26*(#REF!+ABS(G41)),26*(#REF!-ABS(G41)))</f>
        <v>#REF!</v>
      </c>
      <c r="K41" s="11">
        <f t="shared" si="15"/>
        <v>1</v>
      </c>
      <c r="M41" s="76">
        <f t="shared" si="0"/>
        <v>0</v>
      </c>
      <c r="N41" s="21">
        <f t="shared" si="1"/>
        <v>0</v>
      </c>
      <c r="O41" s="76">
        <f t="shared" si="2"/>
        <v>0</v>
      </c>
      <c r="P41" s="21">
        <f t="shared" si="3"/>
        <v>0</v>
      </c>
      <c r="Q41" s="76">
        <f t="shared" si="9"/>
        <v>0.68</v>
      </c>
      <c r="R41" s="21">
        <f t="shared" si="10"/>
        <v>1.0004200000000001</v>
      </c>
    </row>
    <row r="42" spans="1:21" s="10" customFormat="1" ht="13.9" customHeight="1" thickBot="1" x14ac:dyDescent="0.3">
      <c r="A42" s="162">
        <v>45957</v>
      </c>
      <c r="B42" s="163" t="s">
        <v>187</v>
      </c>
      <c r="C42" s="146" t="str">
        <f>A13</f>
        <v>2:1/120%</v>
      </c>
      <c r="D42" s="146">
        <v>5</v>
      </c>
      <c r="E42" s="87"/>
      <c r="F42" s="85"/>
      <c r="G42" s="137">
        <f>E42-((B13-1)*100)</f>
        <v>-4.2999999999993044E-2</v>
      </c>
      <c r="H42" s="137">
        <f>F42+C13</f>
        <v>0.67300000000000004</v>
      </c>
      <c r="I42" s="138">
        <f t="shared" ref="I42" si="16">1-(G42/100)</f>
        <v>1.0004299999999999</v>
      </c>
      <c r="J42" s="11" t="e">
        <f>IF(K42=1,26*(#REF!+ABS(G42)),26*(#REF!-ABS(G42)))</f>
        <v>#REF!</v>
      </c>
      <c r="K42" s="11">
        <f t="shared" si="15"/>
        <v>1</v>
      </c>
      <c r="M42" s="76">
        <f t="shared" si="0"/>
        <v>0</v>
      </c>
      <c r="N42" s="21">
        <f t="shared" si="1"/>
        <v>0</v>
      </c>
      <c r="O42" s="76">
        <f t="shared" si="2"/>
        <v>0</v>
      </c>
      <c r="P42" s="21">
        <f t="shared" si="3"/>
        <v>0</v>
      </c>
      <c r="Q42" s="147">
        <f>H42</f>
        <v>0.67300000000000004</v>
      </c>
      <c r="R42" s="148">
        <f>I42</f>
        <v>1.0004299999999999</v>
      </c>
    </row>
    <row r="43" spans="1:21" x14ac:dyDescent="0.25">
      <c r="M43" s="10"/>
      <c r="N43" s="10"/>
      <c r="O43" s="10"/>
      <c r="P43" s="10"/>
      <c r="Q43" s="10"/>
      <c r="R43" s="10"/>
      <c r="S43" s="10"/>
      <c r="T43" s="10"/>
      <c r="U43" s="10"/>
    </row>
  </sheetData>
  <mergeCells count="18">
    <mergeCell ref="A1:I1"/>
    <mergeCell ref="A4:C4"/>
    <mergeCell ref="M6:M7"/>
    <mergeCell ref="O6:O7"/>
    <mergeCell ref="M9:M10"/>
    <mergeCell ref="N9:N10"/>
    <mergeCell ref="O9:O10"/>
    <mergeCell ref="M12:M13"/>
    <mergeCell ref="N12:N13"/>
    <mergeCell ref="O12:O13"/>
    <mergeCell ref="N6:N7"/>
    <mergeCell ref="A18:C18"/>
    <mergeCell ref="A25:I25"/>
    <mergeCell ref="A26:A27"/>
    <mergeCell ref="B26:B27"/>
    <mergeCell ref="E26:F26"/>
    <mergeCell ref="G26:H26"/>
    <mergeCell ref="I26:I27"/>
  </mergeCells>
  <conditionalFormatting sqref="G28:H42">
    <cfRule type="cellIs" dxfId="0" priority="1" stopIfTrue="1" operator="notBetween">
      <formula>#REF!</formula>
      <formula>-#REF!</formula>
    </cfRule>
  </conditionalFormatting>
  <printOptions horizontalCentered="1"/>
  <pageMargins left="0.31496062992125984" right="0.31496062992125984" top="0.86614173228346458" bottom="0.86614173228346458" header="0.19685039370078741" footer="0.39370078740157483"/>
  <pageSetup paperSize="9" scale="79" orientation="portrait" horizontalDpi="4294967294" verticalDpi="300" r:id="rId1"/>
  <headerFooter>
    <oddFooter xml:space="preserve">&amp;L&amp;"Arial,Normal"Local Ensaios: Serta Transformadores - Rua José Calixto, 200 - Santa Luzia - MG
qualidade@sertatransformadores.com.br  (31) 2102-4804&amp;C&amp;8
</oddFoot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D552-1F46-4D52-B918-484AE9F5BC5F}">
  <dimension ref="A1:U54"/>
  <sheetViews>
    <sheetView showGridLines="0" view="pageBreakPreview" topLeftCell="A11" zoomScaleNormal="115" zoomScaleSheetLayoutView="100" workbookViewId="0">
      <selection activeCell="A49" sqref="A49"/>
    </sheetView>
  </sheetViews>
  <sheetFormatPr defaultColWidth="9.140625" defaultRowHeight="12.75" x14ac:dyDescent="0.25"/>
  <cols>
    <col min="1" max="1" width="19" style="10" customWidth="1"/>
    <col min="2" max="2" width="15" style="10" customWidth="1"/>
    <col min="3" max="3" width="12.42578125" style="10" customWidth="1"/>
    <col min="4" max="4" width="10.28515625" style="10" customWidth="1"/>
    <col min="5" max="5" width="13.28515625" style="10" customWidth="1"/>
    <col min="6" max="6" width="14.42578125" style="10" customWidth="1"/>
    <col min="7" max="7" width="16.5703125" style="10" customWidth="1"/>
    <col min="8" max="8" width="12.140625" style="10" customWidth="1"/>
    <col min="9" max="9" width="9.5703125" style="10" customWidth="1"/>
    <col min="10" max="10" width="9" style="9" hidden="1" customWidth="1"/>
    <col min="11" max="11" width="9.7109375" style="9" customWidth="1"/>
    <col min="12" max="12" width="9.140625" style="9" customWidth="1"/>
    <col min="13" max="13" width="18" style="9" bestFit="1" customWidth="1"/>
    <col min="14" max="14" width="12.7109375" style="9" bestFit="1" customWidth="1"/>
    <col min="15" max="15" width="13.140625" style="9" bestFit="1" customWidth="1"/>
    <col min="16" max="16384" width="9.140625" style="9"/>
  </cols>
  <sheetData>
    <row r="1" spans="1:21" s="8" customFormat="1" ht="19.899999999999999" customHeight="1" x14ac:dyDescent="0.2">
      <c r="A1" s="55" t="s">
        <v>23</v>
      </c>
      <c r="B1" s="55"/>
      <c r="C1" s="55"/>
      <c r="D1" s="55"/>
      <c r="E1" s="55"/>
      <c r="F1" s="55"/>
      <c r="G1" s="55"/>
      <c r="H1" s="55"/>
      <c r="I1" s="55"/>
      <c r="M1" s="76">
        <f>IFERROR(VLOOKUP(#REF!,#REF!,6,0),0)</f>
        <v>0</v>
      </c>
      <c r="N1" s="21">
        <f>IFERROR(VLOOKUP(#REF!,#REF!,7,0),0)</f>
        <v>0</v>
      </c>
      <c r="O1" s="76">
        <f>IFERROR(VLOOKUP(#REF!,#REF!,6,0),0)</f>
        <v>0</v>
      </c>
      <c r="P1" s="21">
        <f>IFERROR(VLOOKUP(#REF!,#REF!,7,0),0)</f>
        <v>0</v>
      </c>
      <c r="Q1" s="76">
        <f>IFERROR(VLOOKUP(#REF!,C1:I1,6,0),IFERROR(VLOOKUP(#REF!,C1:I1,6,0),IFERROR(VLOOKUP(#REF!,C1:I1,6,0),0)))</f>
        <v>0</v>
      </c>
      <c r="R1" s="21">
        <f>IFERROR(VLOOKUP(#REF!,C1:I1,7,0),IFERROR(VLOOKUP(#REF!,C1:I1,7,0),IFERROR(VLOOKUP(#REF!,C1:I1,7,0),0)))</f>
        <v>0</v>
      </c>
      <c r="S1" s="24"/>
      <c r="T1" s="24"/>
      <c r="U1" s="24"/>
    </row>
    <row r="2" spans="1:21" s="24" customFormat="1" ht="18" x14ac:dyDescent="0.2">
      <c r="A2" s="27" t="s">
        <v>47</v>
      </c>
      <c r="B2" s="28"/>
      <c r="C2" s="29"/>
      <c r="D2" s="30"/>
      <c r="E2" s="29"/>
      <c r="F2" s="29"/>
      <c r="G2" s="29"/>
      <c r="H2" s="29"/>
      <c r="I2" s="29"/>
    </row>
    <row r="3" spans="1:21" s="24" customFormat="1" ht="18" x14ac:dyDescent="0.2">
      <c r="A3" s="32"/>
      <c r="B3" s="31"/>
      <c r="C3" s="167"/>
      <c r="D3" s="28"/>
    </row>
    <row r="4" spans="1:21" s="24" customFormat="1" ht="18" x14ac:dyDescent="0.2">
      <c r="A4" s="33"/>
      <c r="B4" s="34"/>
      <c r="C4" s="167"/>
      <c r="D4" s="28"/>
    </row>
    <row r="5" spans="1:21" s="24" customFormat="1" ht="18" x14ac:dyDescent="0.2">
      <c r="A5" s="35"/>
      <c r="B5" s="34"/>
      <c r="C5" s="167"/>
      <c r="D5" s="28"/>
    </row>
    <row r="6" spans="1:21" s="24" customFormat="1" ht="18" x14ac:dyDescent="0.2">
      <c r="A6" s="37"/>
      <c r="B6" s="154"/>
      <c r="C6" s="168"/>
      <c r="D6" s="28"/>
    </row>
    <row r="7" spans="1:21" s="24" customFormat="1" ht="15.75" x14ac:dyDescent="0.2">
      <c r="A7" s="38" t="s">
        <v>105</v>
      </c>
      <c r="B7" s="38"/>
      <c r="C7" s="38"/>
      <c r="D7" s="38"/>
    </row>
    <row r="8" spans="1:21" s="24" customFormat="1" ht="18" x14ac:dyDescent="0.2">
      <c r="B8" s="39"/>
      <c r="C8" s="39"/>
      <c r="D8" s="28"/>
      <c r="E8" s="28"/>
      <c r="F8" s="28"/>
      <c r="G8" s="28"/>
      <c r="H8" s="28"/>
      <c r="I8" s="28"/>
    </row>
    <row r="9" spans="1:21" s="24" customFormat="1" ht="18" x14ac:dyDescent="0.2">
      <c r="A9" s="27" t="s">
        <v>26</v>
      </c>
      <c r="B9" s="39"/>
      <c r="C9" s="39"/>
      <c r="D9" s="28"/>
      <c r="E9" s="28"/>
      <c r="F9" s="28"/>
      <c r="G9" s="28"/>
      <c r="H9" s="28"/>
      <c r="I9" s="28"/>
    </row>
    <row r="10" spans="1:21" s="24" customFormat="1" ht="18" x14ac:dyDescent="0.2">
      <c r="A10" s="32"/>
      <c r="B10" s="31"/>
      <c r="C10" s="167"/>
      <c r="D10" s="28"/>
      <c r="F10" s="28"/>
      <c r="G10" s="28"/>
      <c r="H10" s="28"/>
      <c r="I10" s="28"/>
    </row>
    <row r="11" spans="1:21" s="24" customFormat="1" ht="18" x14ac:dyDescent="0.2">
      <c r="A11" s="33"/>
      <c r="B11" s="34"/>
      <c r="C11" s="167"/>
      <c r="D11" s="28"/>
      <c r="F11" s="28"/>
      <c r="G11" s="28"/>
      <c r="H11" s="28"/>
      <c r="I11" s="28"/>
    </row>
    <row r="12" spans="1:21" s="24" customFormat="1" ht="18" x14ac:dyDescent="0.2">
      <c r="A12" s="33"/>
      <c r="B12" s="34"/>
      <c r="C12" s="167"/>
      <c r="D12" s="28"/>
      <c r="F12" s="28"/>
      <c r="G12" s="28"/>
      <c r="H12" s="28"/>
      <c r="I12" s="28"/>
    </row>
    <row r="13" spans="1:21" s="24" customFormat="1" ht="18" x14ac:dyDescent="0.2">
      <c r="A13" s="33"/>
      <c r="B13" s="34"/>
      <c r="C13" s="167"/>
      <c r="D13" s="28"/>
      <c r="F13" s="8"/>
      <c r="G13" s="8"/>
      <c r="H13" s="8"/>
      <c r="I13" s="8"/>
    </row>
    <row r="14" spans="1:21" s="24" customFormat="1" ht="18" x14ac:dyDescent="0.2">
      <c r="A14" s="37"/>
      <c r="B14" s="36"/>
      <c r="C14" s="167"/>
      <c r="D14" s="28"/>
      <c r="F14" s="8"/>
      <c r="G14" s="8"/>
      <c r="H14" s="8"/>
      <c r="I14" s="8"/>
    </row>
    <row r="15" spans="1:21" s="24" customFormat="1" ht="20.25" x14ac:dyDescent="0.2">
      <c r="A15" s="38" t="s">
        <v>48</v>
      </c>
      <c r="B15" s="40"/>
      <c r="C15" s="40"/>
      <c r="D15" s="41"/>
      <c r="F15" s="41"/>
      <c r="G15" s="41"/>
      <c r="H15" s="41"/>
      <c r="I15" s="41"/>
    </row>
    <row r="16" spans="1:21" s="24" customFormat="1" ht="20.25" x14ac:dyDescent="0.2">
      <c r="A16" s="38"/>
      <c r="B16" s="40"/>
      <c r="C16" s="40"/>
      <c r="D16" s="41"/>
      <c r="F16" s="41"/>
      <c r="G16" s="41"/>
      <c r="H16" s="41"/>
      <c r="I16" s="41"/>
    </row>
    <row r="17" spans="1:9" s="24" customFormat="1" ht="20.25" x14ac:dyDescent="0.2">
      <c r="A17" s="38"/>
      <c r="B17" s="40"/>
      <c r="C17" s="40"/>
      <c r="D17" s="41"/>
      <c r="F17" s="41"/>
      <c r="G17" s="41"/>
      <c r="H17" s="41"/>
      <c r="I17" s="41"/>
    </row>
    <row r="18" spans="1:9" s="24" customFormat="1" ht="20.25" x14ac:dyDescent="0.2">
      <c r="A18" s="38"/>
      <c r="B18" s="40"/>
      <c r="C18" s="40"/>
      <c r="D18" s="41"/>
      <c r="F18" s="41"/>
      <c r="G18" s="41"/>
      <c r="H18" s="41"/>
      <c r="I18" s="41"/>
    </row>
    <row r="19" spans="1:9" s="24" customFormat="1" ht="20.25" x14ac:dyDescent="0.2">
      <c r="A19" s="38"/>
      <c r="B19" s="40"/>
      <c r="C19" s="40"/>
      <c r="D19" s="41"/>
      <c r="F19" s="41"/>
      <c r="G19" s="41"/>
      <c r="H19" s="41"/>
      <c r="I19" s="41"/>
    </row>
    <row r="20" spans="1:9" s="24" customFormat="1" ht="20.25" x14ac:dyDescent="0.2">
      <c r="A20" s="38"/>
      <c r="B20" s="40"/>
      <c r="C20" s="40"/>
      <c r="D20" s="41"/>
      <c r="F20" s="41"/>
      <c r="G20" s="41"/>
      <c r="H20" s="41"/>
      <c r="I20" s="41"/>
    </row>
    <row r="21" spans="1:9" s="24" customFormat="1" ht="20.25" x14ac:dyDescent="0.2">
      <c r="A21" s="38"/>
      <c r="B21" s="40"/>
      <c r="C21" s="40"/>
      <c r="D21" s="41"/>
      <c r="F21" s="41"/>
      <c r="G21" s="41"/>
      <c r="H21" s="41"/>
      <c r="I21" s="41"/>
    </row>
    <row r="22" spans="1:9" s="24" customFormat="1" ht="20.25" x14ac:dyDescent="0.2">
      <c r="A22" s="38"/>
      <c r="B22" s="40"/>
      <c r="C22" s="40"/>
      <c r="D22" s="41"/>
      <c r="F22" s="41"/>
      <c r="G22" s="41"/>
      <c r="H22" s="41"/>
      <c r="I22" s="41"/>
    </row>
    <row r="23" spans="1:9" s="24" customFormat="1" ht="20.25" x14ac:dyDescent="0.2">
      <c r="A23" s="38"/>
      <c r="B23" s="40"/>
      <c r="C23" s="40"/>
      <c r="D23" s="41"/>
      <c r="F23" s="41"/>
      <c r="G23" s="41"/>
      <c r="H23" s="41"/>
      <c r="I23" s="41"/>
    </row>
    <row r="24" spans="1:9" s="24" customFormat="1" ht="20.25" x14ac:dyDescent="0.2">
      <c r="A24" s="38"/>
      <c r="B24" s="40"/>
      <c r="C24" s="40"/>
      <c r="D24" s="41"/>
      <c r="F24" s="41"/>
      <c r="G24" s="41"/>
      <c r="H24" s="41"/>
      <c r="I24" s="41"/>
    </row>
    <row r="25" spans="1:9" s="24" customFormat="1" ht="20.25" x14ac:dyDescent="0.2">
      <c r="A25" s="38"/>
      <c r="B25" s="40"/>
      <c r="C25" s="40"/>
      <c r="D25" s="41"/>
      <c r="F25" s="41"/>
      <c r="G25" s="41"/>
      <c r="H25" s="41"/>
      <c r="I25" s="41"/>
    </row>
    <row r="26" spans="1:9" s="24" customFormat="1" ht="20.25" x14ac:dyDescent="0.2">
      <c r="A26" s="38"/>
      <c r="B26" s="40"/>
      <c r="C26" s="40"/>
      <c r="D26" s="41"/>
      <c r="F26" s="41"/>
      <c r="G26" s="41"/>
      <c r="H26" s="41"/>
      <c r="I26" s="41"/>
    </row>
    <row r="27" spans="1:9" s="24" customFormat="1" ht="20.25" x14ac:dyDescent="0.2">
      <c r="A27" s="38"/>
      <c r="B27" s="40"/>
      <c r="C27" s="40"/>
      <c r="D27" s="41"/>
      <c r="F27" s="41"/>
      <c r="G27" s="41"/>
      <c r="H27" s="41"/>
      <c r="I27" s="41"/>
    </row>
    <row r="28" spans="1:9" s="24" customFormat="1" ht="20.25" x14ac:dyDescent="0.2">
      <c r="A28" s="38"/>
      <c r="B28" s="40"/>
      <c r="C28" s="40"/>
      <c r="D28" s="41"/>
      <c r="F28" s="41"/>
      <c r="G28" s="41"/>
      <c r="H28" s="41"/>
      <c r="I28" s="41"/>
    </row>
    <row r="29" spans="1:9" s="24" customFormat="1" ht="20.25" x14ac:dyDescent="0.2">
      <c r="A29" s="38"/>
      <c r="B29" s="40"/>
      <c r="C29" s="40"/>
      <c r="D29" s="41"/>
      <c r="F29" s="41"/>
      <c r="G29" s="41"/>
      <c r="H29" s="41"/>
      <c r="I29" s="41"/>
    </row>
    <row r="30" spans="1:9" s="24" customFormat="1" ht="20.25" x14ac:dyDescent="0.2">
      <c r="A30" s="38"/>
      <c r="B30" s="40"/>
      <c r="C30" s="40"/>
      <c r="D30" s="41"/>
      <c r="F30" s="41"/>
      <c r="G30" s="41"/>
      <c r="H30" s="41"/>
      <c r="I30" s="41"/>
    </row>
    <row r="31" spans="1:9" s="24" customFormat="1" ht="20.25" x14ac:dyDescent="0.2">
      <c r="A31" s="38"/>
      <c r="B31" s="40"/>
      <c r="C31" s="40"/>
      <c r="D31" s="41"/>
      <c r="F31" s="41"/>
      <c r="G31" s="41"/>
      <c r="H31" s="41"/>
      <c r="I31" s="41"/>
    </row>
    <row r="32" spans="1:9" s="24" customFormat="1" ht="20.25" x14ac:dyDescent="0.2">
      <c r="A32" s="38"/>
      <c r="B32" s="40"/>
      <c r="C32" s="40"/>
      <c r="D32" s="41"/>
      <c r="F32" s="41"/>
      <c r="G32" s="41"/>
      <c r="H32" s="41"/>
      <c r="I32" s="41"/>
    </row>
    <row r="33" spans="1:9" s="24" customFormat="1" ht="20.25" x14ac:dyDescent="0.2">
      <c r="A33" s="38"/>
      <c r="B33" s="40"/>
      <c r="C33" s="40"/>
      <c r="D33" s="41"/>
      <c r="F33" s="41"/>
      <c r="G33" s="41"/>
      <c r="H33" s="41"/>
      <c r="I33" s="41"/>
    </row>
    <row r="34" spans="1:9" s="24" customFormat="1" ht="20.25" x14ac:dyDescent="0.2">
      <c r="A34" s="38"/>
      <c r="B34" s="40"/>
      <c r="C34" s="40"/>
      <c r="D34" s="41"/>
      <c r="F34" s="41"/>
      <c r="G34" s="41"/>
      <c r="H34" s="41"/>
      <c r="I34" s="41"/>
    </row>
    <row r="35" spans="1:9" s="24" customFormat="1" ht="20.25" x14ac:dyDescent="0.2">
      <c r="A35" s="38"/>
      <c r="B35" s="40"/>
      <c r="C35" s="40"/>
      <c r="D35" s="41"/>
      <c r="F35" s="41"/>
      <c r="G35" s="41"/>
      <c r="H35" s="41"/>
      <c r="I35" s="41"/>
    </row>
    <row r="36" spans="1:9" s="24" customFormat="1" ht="20.25" x14ac:dyDescent="0.2">
      <c r="A36" s="38"/>
      <c r="B36" s="40"/>
      <c r="C36" s="40"/>
      <c r="D36" s="41"/>
      <c r="F36" s="41"/>
      <c r="G36" s="41"/>
      <c r="H36" s="41"/>
      <c r="I36" s="41"/>
    </row>
    <row r="37" spans="1:9" s="24" customFormat="1" ht="20.25" x14ac:dyDescent="0.2">
      <c r="A37" s="38"/>
      <c r="B37" s="40"/>
      <c r="C37" s="40"/>
      <c r="D37" s="41"/>
      <c r="F37" s="41"/>
      <c r="G37" s="41"/>
      <c r="H37" s="41"/>
      <c r="I37" s="41"/>
    </row>
    <row r="38" spans="1:9" s="24" customFormat="1" ht="20.25" x14ac:dyDescent="0.2">
      <c r="A38" s="38"/>
      <c r="B38" s="40"/>
      <c r="C38" s="40"/>
      <c r="D38" s="41"/>
      <c r="F38" s="41"/>
      <c r="G38" s="41"/>
      <c r="H38" s="41"/>
      <c r="I38" s="41"/>
    </row>
    <row r="39" spans="1:9" s="24" customFormat="1" ht="20.25" x14ac:dyDescent="0.2">
      <c r="A39" s="38"/>
      <c r="B39" s="40"/>
      <c r="C39" s="40"/>
      <c r="D39" s="41"/>
      <c r="F39" s="41"/>
      <c r="G39" s="41"/>
      <c r="H39" s="41"/>
      <c r="I39" s="41"/>
    </row>
    <row r="40" spans="1:9" s="24" customFormat="1" ht="20.25" x14ac:dyDescent="0.2">
      <c r="A40" s="38"/>
      <c r="B40" s="40"/>
      <c r="C40" s="40"/>
      <c r="D40" s="41"/>
      <c r="F40" s="41"/>
      <c r="G40" s="41"/>
      <c r="H40" s="41"/>
      <c r="I40" s="41"/>
    </row>
    <row r="41" spans="1:9" s="24" customFormat="1" ht="20.25" x14ac:dyDescent="0.2">
      <c r="A41" s="38"/>
      <c r="B41" s="40"/>
      <c r="C41" s="40"/>
      <c r="D41" s="41"/>
      <c r="F41" s="41"/>
      <c r="G41" s="41"/>
      <c r="H41" s="41"/>
      <c r="I41" s="41"/>
    </row>
    <row r="42" spans="1:9" s="24" customFormat="1" ht="20.25" x14ac:dyDescent="0.2">
      <c r="A42" s="38"/>
      <c r="B42" s="40"/>
      <c r="C42" s="40"/>
      <c r="D42" s="41"/>
      <c r="F42" s="41"/>
      <c r="G42" s="41"/>
      <c r="H42" s="41"/>
      <c r="I42" s="41"/>
    </row>
    <row r="43" spans="1:9" s="24" customFormat="1" ht="20.25" x14ac:dyDescent="0.2">
      <c r="A43" s="38"/>
      <c r="B43" s="40"/>
      <c r="C43" s="40"/>
      <c r="D43" s="41"/>
      <c r="F43" s="41"/>
      <c r="G43" s="41"/>
      <c r="H43" s="41"/>
      <c r="I43" s="41"/>
    </row>
    <row r="44" spans="1:9" s="24" customFormat="1" ht="20.25" x14ac:dyDescent="0.2">
      <c r="A44" s="38"/>
      <c r="B44" s="40"/>
      <c r="C44" s="40"/>
      <c r="D44" s="41"/>
      <c r="F44" s="41"/>
      <c r="G44" s="41"/>
      <c r="H44" s="41"/>
      <c r="I44" s="41"/>
    </row>
    <row r="45" spans="1:9" s="24" customFormat="1" ht="20.25" x14ac:dyDescent="0.2">
      <c r="A45" s="38"/>
      <c r="B45" s="40"/>
      <c r="C45" s="40"/>
      <c r="D45" s="41"/>
      <c r="F45" s="41"/>
      <c r="G45" s="41"/>
      <c r="H45" s="41"/>
      <c r="I45" s="41"/>
    </row>
    <row r="46" spans="1:9" s="24" customFormat="1" ht="20.25" x14ac:dyDescent="0.2">
      <c r="A46" s="38"/>
      <c r="B46" s="40"/>
      <c r="C46" s="40"/>
      <c r="D46" s="41"/>
      <c r="F46" s="41"/>
      <c r="G46" s="41"/>
      <c r="H46" s="41"/>
      <c r="I46" s="41"/>
    </row>
    <row r="47" spans="1:9" s="24" customFormat="1" ht="20.25" x14ac:dyDescent="0.2">
      <c r="A47" s="38"/>
      <c r="B47" s="40"/>
      <c r="C47" s="40"/>
      <c r="D47" s="41"/>
      <c r="F47" s="41"/>
      <c r="G47" s="41"/>
      <c r="H47" s="41"/>
      <c r="I47" s="41"/>
    </row>
    <row r="48" spans="1:9" s="24" customFormat="1" ht="20.25" x14ac:dyDescent="0.2">
      <c r="A48" s="38"/>
      <c r="B48" s="40"/>
      <c r="C48" s="40"/>
      <c r="D48" s="41"/>
      <c r="F48" s="41"/>
      <c r="G48" s="41"/>
      <c r="H48" s="41"/>
      <c r="I48" s="41"/>
    </row>
    <row r="49" spans="1:21" s="24" customFormat="1" ht="20.25" x14ac:dyDescent="0.2">
      <c r="A49" s="38"/>
      <c r="B49" s="40"/>
      <c r="C49" s="40"/>
      <c r="D49" s="41"/>
      <c r="F49" s="41"/>
      <c r="G49" s="41"/>
      <c r="H49" s="41"/>
      <c r="I49" s="41"/>
    </row>
    <row r="50" spans="1:21" s="24" customFormat="1" ht="20.25" x14ac:dyDescent="0.2">
      <c r="A50" s="38"/>
      <c r="B50" s="40"/>
      <c r="C50" s="40"/>
      <c r="D50" s="41"/>
      <c r="F50" s="41"/>
      <c r="G50" s="41"/>
      <c r="H50" s="41"/>
      <c r="I50" s="41"/>
    </row>
    <row r="51" spans="1:21" s="24" customFormat="1" ht="20.25" x14ac:dyDescent="0.2">
      <c r="A51" s="38"/>
      <c r="B51" s="40"/>
      <c r="C51" s="40"/>
      <c r="D51" s="41"/>
      <c r="F51" s="41"/>
      <c r="G51" s="41"/>
      <c r="H51" s="41"/>
      <c r="I51" s="41"/>
    </row>
    <row r="52" spans="1:21" s="24" customFormat="1" ht="18" x14ac:dyDescent="0.2">
      <c r="A52" s="8"/>
      <c r="B52" s="8"/>
      <c r="C52" s="8"/>
      <c r="D52" s="8"/>
      <c r="E52" s="8"/>
      <c r="F52" s="8"/>
      <c r="G52" s="8"/>
      <c r="H52" s="8"/>
      <c r="I52" s="8"/>
      <c r="M52" s="9"/>
      <c r="N52" s="9"/>
      <c r="O52" s="9"/>
      <c r="P52" s="9"/>
      <c r="Q52" s="9"/>
      <c r="R52" s="9"/>
      <c r="S52" s="9"/>
      <c r="T52" s="9"/>
      <c r="U52" s="9"/>
    </row>
    <row r="53" spans="1:21" s="24" customFormat="1" ht="42.6" customHeight="1" x14ac:dyDescent="0.2">
      <c r="A53" s="207" t="s">
        <v>111</v>
      </c>
      <c r="B53" s="207"/>
      <c r="C53" s="207"/>
      <c r="D53" s="207"/>
      <c r="E53" s="207"/>
      <c r="F53" s="207"/>
      <c r="G53" s="207"/>
      <c r="H53" s="207"/>
      <c r="I53" s="207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M54" s="10"/>
      <c r="N54" s="10"/>
      <c r="O54" s="10"/>
      <c r="P54" s="10"/>
      <c r="Q54" s="10"/>
      <c r="R54" s="10"/>
      <c r="S54" s="10"/>
      <c r="T54" s="10"/>
      <c r="U54" s="10"/>
    </row>
  </sheetData>
  <mergeCells count="1">
    <mergeCell ref="A53:I53"/>
  </mergeCells>
  <printOptions horizontalCentered="1"/>
  <pageMargins left="0.31496062992125984" right="0.31496062992125984" top="0.86614173228346458" bottom="0.86614173228346458" header="0.19685039370078741" footer="0.39370078740157483"/>
  <pageSetup paperSize="9" scale="69" orientation="portrait" horizontalDpi="4294967294" verticalDpi="300" r:id="rId1"/>
  <headerFooter>
    <oddFooter>&amp;L&amp;"Arial,Normal"Local Ensaios: Serta Transformadores - Rua José Calixto, 200 - Santa Luzia - MG
qualidade@sertatransformadores.com.br  (31) 2102-4804&amp;C&amp;8&amp;G
&amp;R&amp;"Arial,Normal"
&amp;12Página: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23</vt:i4>
      </vt:variant>
    </vt:vector>
  </HeadingPairs>
  <TitlesOfParts>
    <vt:vector size="46" baseType="lpstr">
      <vt:lpstr>Dados</vt:lpstr>
      <vt:lpstr>1</vt:lpstr>
      <vt:lpstr>Consulta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Assis.</vt:lpstr>
      <vt:lpstr>'1'!Area_de_impressao</vt:lpstr>
      <vt:lpstr>'10'!Area_de_impressao</vt:lpstr>
      <vt:lpstr>'11'!Area_de_impressao</vt:lpstr>
      <vt:lpstr>'12'!Area_de_impressao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'2'!Area_de_impressao</vt:lpstr>
      <vt:lpstr>'20'!Area_de_impressao</vt:lpstr>
      <vt:lpstr>'3'!Area_de_impressao</vt:lpstr>
      <vt:lpstr>'4'!Area_de_impressao</vt:lpstr>
      <vt:lpstr>'5'!Area_de_impressao</vt:lpstr>
      <vt:lpstr>'6'!Area_de_impressao</vt:lpstr>
      <vt:lpstr>'7'!Area_de_impressao</vt:lpstr>
      <vt:lpstr>'8'!Area_de_impressao</vt:lpstr>
      <vt:lpstr>'9'!Area_de_impressao</vt:lpstr>
      <vt:lpstr>Assis.!Area_de_impressao</vt:lpstr>
      <vt:lpstr>Dados!Area_de_impressao</vt:lpstr>
      <vt:lpstr>Dados!Titulos_de_impressao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Joly</dc:creator>
  <cp:lastModifiedBy>fabrica21</cp:lastModifiedBy>
  <cp:lastPrinted>2025-10-28T12:54:54Z</cp:lastPrinted>
  <dcterms:created xsi:type="dcterms:W3CDTF">2015-10-16T13:20:10Z</dcterms:created>
  <dcterms:modified xsi:type="dcterms:W3CDTF">2025-11-06T11:23:02Z</dcterms:modified>
</cp:coreProperties>
</file>