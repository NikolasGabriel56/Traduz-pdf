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T:\Laboratorio\RELATÓRIOS DE ENSAIOS\Relatórios CV-2025\INGEOELÉCTRICA\OS 25757\"/>
    </mc:Choice>
  </mc:AlternateContent>
  <xr:revisionPtr revIDLastSave="0" documentId="13_ncr:1_{4260E57F-B3CF-4B8C-AA0A-A0F523E6D01F}" xr6:coauthVersionLast="47" xr6:coauthVersionMax="47" xr10:uidLastSave="{00000000-0000-0000-0000-000000000000}"/>
  <bookViews>
    <workbookView xWindow="-120" yWindow="-120" windowWidth="20730" windowHeight="11160" tabRatio="750" activeTab="2" xr2:uid="{00000000-000D-0000-FFFF-FFFF00000000}"/>
  </bookViews>
  <sheets>
    <sheet name="Dados" sheetId="30" r:id="rId1"/>
    <sheet name="Consulta" sheetId="3" state="hidden" r:id="rId2"/>
    <sheet name="5" sheetId="14" r:id="rId3"/>
    <sheet name="7" sheetId="16" r:id="rId4"/>
    <sheet name="8" sheetId="17" r:id="rId5"/>
    <sheet name="9" sheetId="18" r:id="rId6"/>
    <sheet name="11" sheetId="20" r:id="rId7"/>
    <sheet name="Ass." sheetId="31" r:id="rId8"/>
  </sheets>
  <definedNames>
    <definedName name="_xlnm.Print_Area" localSheetId="6">'11'!$A$1:$I$42</definedName>
    <definedName name="_xlnm.Print_Area" localSheetId="2">'5'!$A$1:$I$42</definedName>
    <definedName name="_xlnm.Print_Area" localSheetId="3">'7'!$A$1:$I$42</definedName>
    <definedName name="_xlnm.Print_Area" localSheetId="4">'8'!$A$1:$I$42</definedName>
    <definedName name="_xlnm.Print_Area" localSheetId="5">'9'!$A$1:$I$42</definedName>
    <definedName name="_xlnm.Print_Area" localSheetId="7">Ass.!$A$1:$I$53</definedName>
    <definedName name="_xlnm.Print_Area" localSheetId="0">Dados!$A$1:$I$49</definedName>
    <definedName name="_xlnm.Print_Titles" localSheetId="6">'11'!#REF!</definedName>
    <definedName name="_xlnm.Print_Titles" localSheetId="2">'5'!#REF!</definedName>
    <definedName name="_xlnm.Print_Titles" localSheetId="3">'7'!#REF!</definedName>
    <definedName name="_xlnm.Print_Titles" localSheetId="4">'8'!#REF!</definedName>
    <definedName name="_xlnm.Print_Titles" localSheetId="5">'9'!#REF!</definedName>
    <definedName name="_xlnm.Print_Titles" localSheetId="7">Ass.!#REF!</definedName>
    <definedName name="_xlnm.Print_Titles" localSheetId="0">Dados!$1:$3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4" l="1"/>
  <c r="B13" i="14"/>
  <c r="G42" i="14" s="1"/>
  <c r="B12" i="14"/>
  <c r="B11" i="14"/>
  <c r="B10" i="14"/>
  <c r="B9" i="14"/>
  <c r="B8" i="14"/>
  <c r="B7" i="14"/>
  <c r="B6" i="14"/>
  <c r="B14" i="16"/>
  <c r="B13" i="16"/>
  <c r="B12" i="16"/>
  <c r="B11" i="16"/>
  <c r="B10" i="16"/>
  <c r="B9" i="16"/>
  <c r="B8" i="16"/>
  <c r="B7" i="16"/>
  <c r="G39" i="16" s="1"/>
  <c r="B6" i="16"/>
  <c r="B14" i="17"/>
  <c r="B13" i="17"/>
  <c r="G42" i="17" s="1"/>
  <c r="B12" i="17"/>
  <c r="G36" i="17" s="1"/>
  <c r="B11" i="17"/>
  <c r="B10" i="17"/>
  <c r="B9" i="17"/>
  <c r="B8" i="17"/>
  <c r="B7" i="17"/>
  <c r="B6" i="17"/>
  <c r="B14" i="18"/>
  <c r="B13" i="18"/>
  <c r="G42" i="18" s="1"/>
  <c r="B12" i="18"/>
  <c r="B11" i="18"/>
  <c r="B10" i="18"/>
  <c r="B9" i="18"/>
  <c r="G35" i="18" s="1"/>
  <c r="B8" i="18"/>
  <c r="B7" i="18"/>
  <c r="B6" i="18"/>
  <c r="G38" i="18" s="1"/>
  <c r="B14" i="20"/>
  <c r="B13" i="20"/>
  <c r="B12" i="20"/>
  <c r="B11" i="20"/>
  <c r="B10" i="20"/>
  <c r="B9" i="20"/>
  <c r="B8" i="20"/>
  <c r="B7" i="20"/>
  <c r="B6" i="20"/>
  <c r="G39" i="17"/>
  <c r="R1" i="31"/>
  <c r="Q1" i="31"/>
  <c r="P1" i="31"/>
  <c r="O1" i="31"/>
  <c r="N1" i="31"/>
  <c r="M1" i="31"/>
  <c r="H42" i="20"/>
  <c r="Q42" i="20" s="1"/>
  <c r="C42" i="20"/>
  <c r="M42" i="20" s="1"/>
  <c r="H41" i="20"/>
  <c r="C41" i="20"/>
  <c r="O41" i="20" s="1"/>
  <c r="H40" i="20"/>
  <c r="C40" i="20"/>
  <c r="O40" i="20" s="1"/>
  <c r="H39" i="20"/>
  <c r="C39" i="20"/>
  <c r="H38" i="20"/>
  <c r="C38" i="20"/>
  <c r="Q38" i="20" s="1"/>
  <c r="H37" i="20"/>
  <c r="Q37" i="20" s="1"/>
  <c r="C37" i="20"/>
  <c r="O37" i="20" s="1"/>
  <c r="H36" i="20"/>
  <c r="C36" i="20"/>
  <c r="H35" i="20"/>
  <c r="C35" i="20"/>
  <c r="H34" i="20"/>
  <c r="C34" i="20"/>
  <c r="R34" i="20" s="1"/>
  <c r="H33" i="20"/>
  <c r="C33" i="20"/>
  <c r="O33" i="20" s="1"/>
  <c r="H32" i="20"/>
  <c r="Q32" i="20" s="1"/>
  <c r="C32" i="20"/>
  <c r="M32" i="20" s="1"/>
  <c r="H31" i="20"/>
  <c r="C31" i="20"/>
  <c r="O31" i="20" s="1"/>
  <c r="H30" i="20"/>
  <c r="C30" i="20"/>
  <c r="O30" i="20" s="1"/>
  <c r="H29" i="20"/>
  <c r="C29" i="20"/>
  <c r="Q29" i="20" s="1"/>
  <c r="H28" i="20"/>
  <c r="C28" i="20"/>
  <c r="Q28" i="20" s="1"/>
  <c r="S13" i="20"/>
  <c r="T13" i="20" s="1"/>
  <c r="Q13" i="20"/>
  <c r="R13" i="20" s="1"/>
  <c r="U13" i="20" s="1"/>
  <c r="G42" i="20"/>
  <c r="U12" i="20"/>
  <c r="T12" i="20"/>
  <c r="S12" i="20"/>
  <c r="G36" i="20"/>
  <c r="S10" i="20"/>
  <c r="T10" i="20" s="1"/>
  <c r="Q10" i="20"/>
  <c r="R10" i="20" s="1"/>
  <c r="U10" i="20" s="1"/>
  <c r="U9" i="20"/>
  <c r="T9" i="20"/>
  <c r="S9" i="20"/>
  <c r="G35" i="20"/>
  <c r="S7" i="20"/>
  <c r="T7" i="20" s="1"/>
  <c r="Q7" i="20"/>
  <c r="R7" i="20" s="1"/>
  <c r="U7" i="20" s="1"/>
  <c r="G39" i="20"/>
  <c r="U6" i="20"/>
  <c r="T6" i="20"/>
  <c r="S6" i="20"/>
  <c r="G38" i="20"/>
  <c r="H42" i="18"/>
  <c r="Q42" i="18" s="1"/>
  <c r="C42" i="18"/>
  <c r="M42" i="18" s="1"/>
  <c r="H41" i="18"/>
  <c r="C41" i="18"/>
  <c r="P41" i="18" s="1"/>
  <c r="H40" i="18"/>
  <c r="C40" i="18"/>
  <c r="O40" i="18" s="1"/>
  <c r="H39" i="18"/>
  <c r="C39" i="18"/>
  <c r="Q39" i="18" s="1"/>
  <c r="H38" i="18"/>
  <c r="C38" i="18"/>
  <c r="Q38" i="18" s="1"/>
  <c r="H37" i="18"/>
  <c r="Q37" i="18" s="1"/>
  <c r="C37" i="18"/>
  <c r="N37" i="18" s="1"/>
  <c r="H36" i="18"/>
  <c r="C36" i="18"/>
  <c r="H35" i="18"/>
  <c r="C35" i="18"/>
  <c r="H34" i="18"/>
  <c r="C34" i="18"/>
  <c r="H33" i="18"/>
  <c r="C33" i="18"/>
  <c r="O33" i="18" s="1"/>
  <c r="H32" i="18"/>
  <c r="Q32" i="18" s="1"/>
  <c r="C32" i="18"/>
  <c r="M32" i="18" s="1"/>
  <c r="H31" i="18"/>
  <c r="C31" i="18"/>
  <c r="O31" i="18" s="1"/>
  <c r="H30" i="18"/>
  <c r="C30" i="18"/>
  <c r="O30" i="18" s="1"/>
  <c r="H29" i="18"/>
  <c r="C29" i="18"/>
  <c r="Q29" i="18" s="1"/>
  <c r="H28" i="18"/>
  <c r="C28" i="18"/>
  <c r="Q28" i="18" s="1"/>
  <c r="S13" i="18"/>
  <c r="T13" i="18" s="1"/>
  <c r="Q13" i="18"/>
  <c r="R13" i="18" s="1"/>
  <c r="U13" i="18" s="1"/>
  <c r="U12" i="18"/>
  <c r="T12" i="18"/>
  <c r="S12" i="18"/>
  <c r="G36" i="18"/>
  <c r="S10" i="18"/>
  <c r="T10" i="18" s="1"/>
  <c r="Q10" i="18"/>
  <c r="R10" i="18" s="1"/>
  <c r="U10" i="18" s="1"/>
  <c r="U9" i="18"/>
  <c r="T9" i="18"/>
  <c r="S9" i="18"/>
  <c r="S7" i="18"/>
  <c r="T7" i="18" s="1"/>
  <c r="Q7" i="18"/>
  <c r="R7" i="18" s="1"/>
  <c r="U7" i="18" s="1"/>
  <c r="U6" i="18"/>
  <c r="T6" i="18"/>
  <c r="S6" i="18"/>
  <c r="H42" i="17"/>
  <c r="Q42" i="17" s="1"/>
  <c r="C42" i="17"/>
  <c r="M42" i="17" s="1"/>
  <c r="H41" i="17"/>
  <c r="C41" i="17"/>
  <c r="O41" i="17" s="1"/>
  <c r="H40" i="17"/>
  <c r="C40" i="17"/>
  <c r="O40" i="17" s="1"/>
  <c r="H39" i="17"/>
  <c r="C39" i="17"/>
  <c r="H38" i="17"/>
  <c r="C38" i="17"/>
  <c r="Q38" i="17" s="1"/>
  <c r="H37" i="17"/>
  <c r="Q37" i="17" s="1"/>
  <c r="C37" i="17"/>
  <c r="O37" i="17" s="1"/>
  <c r="H36" i="17"/>
  <c r="C36" i="17"/>
  <c r="P36" i="17" s="1"/>
  <c r="H35" i="17"/>
  <c r="C35" i="17"/>
  <c r="H34" i="17"/>
  <c r="C34" i="17"/>
  <c r="R34" i="17" s="1"/>
  <c r="H33" i="17"/>
  <c r="C33" i="17"/>
  <c r="O33" i="17" s="1"/>
  <c r="H32" i="17"/>
  <c r="Q32" i="17" s="1"/>
  <c r="C32" i="17"/>
  <c r="M32" i="17" s="1"/>
  <c r="H31" i="17"/>
  <c r="C31" i="17"/>
  <c r="O31" i="17" s="1"/>
  <c r="H30" i="17"/>
  <c r="C30" i="17"/>
  <c r="O30" i="17" s="1"/>
  <c r="H29" i="17"/>
  <c r="C29" i="17"/>
  <c r="R29" i="17" s="1"/>
  <c r="H28" i="17"/>
  <c r="C28" i="17"/>
  <c r="Q28" i="17" s="1"/>
  <c r="S13" i="17"/>
  <c r="T13" i="17" s="1"/>
  <c r="Q13" i="17"/>
  <c r="R13" i="17" s="1"/>
  <c r="U13" i="17" s="1"/>
  <c r="U12" i="17"/>
  <c r="T12" i="17"/>
  <c r="S12" i="17"/>
  <c r="S10" i="17"/>
  <c r="T10" i="17" s="1"/>
  <c r="Q10" i="17"/>
  <c r="R10" i="17" s="1"/>
  <c r="U10" i="17" s="1"/>
  <c r="U9" i="17"/>
  <c r="T9" i="17"/>
  <c r="S9" i="17"/>
  <c r="G35" i="17"/>
  <c r="S7" i="17"/>
  <c r="T7" i="17" s="1"/>
  <c r="Q7" i="17"/>
  <c r="R7" i="17" s="1"/>
  <c r="U7" i="17" s="1"/>
  <c r="U6" i="17"/>
  <c r="T6" i="17"/>
  <c r="S6" i="17"/>
  <c r="G38" i="17"/>
  <c r="H42" i="16"/>
  <c r="Q42" i="16" s="1"/>
  <c r="C42" i="16"/>
  <c r="M42" i="16" s="1"/>
  <c r="H41" i="16"/>
  <c r="C41" i="16"/>
  <c r="O41" i="16" s="1"/>
  <c r="H40" i="16"/>
  <c r="C40" i="16"/>
  <c r="O40" i="16" s="1"/>
  <c r="H39" i="16"/>
  <c r="C39" i="16"/>
  <c r="H38" i="16"/>
  <c r="C38" i="16"/>
  <c r="Q38" i="16" s="1"/>
  <c r="H37" i="16"/>
  <c r="Q37" i="16" s="1"/>
  <c r="C37" i="16"/>
  <c r="O37" i="16" s="1"/>
  <c r="H36" i="16"/>
  <c r="C36" i="16"/>
  <c r="H35" i="16"/>
  <c r="C35" i="16"/>
  <c r="H34" i="16"/>
  <c r="C34" i="16"/>
  <c r="R34" i="16" s="1"/>
  <c r="H33" i="16"/>
  <c r="C33" i="16"/>
  <c r="O33" i="16" s="1"/>
  <c r="H32" i="16"/>
  <c r="Q32" i="16" s="1"/>
  <c r="C32" i="16"/>
  <c r="M32" i="16" s="1"/>
  <c r="H31" i="16"/>
  <c r="C31" i="16"/>
  <c r="O31" i="16" s="1"/>
  <c r="H30" i="16"/>
  <c r="C30" i="16"/>
  <c r="O30" i="16" s="1"/>
  <c r="H29" i="16"/>
  <c r="C29" i="16"/>
  <c r="M29" i="16" s="1"/>
  <c r="H28" i="16"/>
  <c r="C28" i="16"/>
  <c r="Q28" i="16" s="1"/>
  <c r="S13" i="16"/>
  <c r="T13" i="16" s="1"/>
  <c r="Q13" i="16"/>
  <c r="R13" i="16" s="1"/>
  <c r="U13" i="16" s="1"/>
  <c r="G42" i="16"/>
  <c r="U12" i="16"/>
  <c r="T12" i="16"/>
  <c r="S12" i="16"/>
  <c r="G36" i="16"/>
  <c r="S10" i="16"/>
  <c r="T10" i="16" s="1"/>
  <c r="Q10" i="16"/>
  <c r="R10" i="16" s="1"/>
  <c r="U10" i="16" s="1"/>
  <c r="U9" i="16"/>
  <c r="T9" i="16"/>
  <c r="S9" i="16"/>
  <c r="G40" i="16"/>
  <c r="I40" i="16" s="1"/>
  <c r="S7" i="16"/>
  <c r="T7" i="16" s="1"/>
  <c r="Q7" i="16"/>
  <c r="R7" i="16" s="1"/>
  <c r="U7" i="16" s="1"/>
  <c r="U6" i="16"/>
  <c r="T6" i="16"/>
  <c r="S6" i="16"/>
  <c r="H42" i="14"/>
  <c r="Q42" i="14" s="1"/>
  <c r="C42" i="14"/>
  <c r="M42" i="14" s="1"/>
  <c r="H41" i="14"/>
  <c r="C41" i="14"/>
  <c r="O41" i="14" s="1"/>
  <c r="H40" i="14"/>
  <c r="C40" i="14"/>
  <c r="O40" i="14" s="1"/>
  <c r="H39" i="14"/>
  <c r="C39" i="14"/>
  <c r="M39" i="14" s="1"/>
  <c r="H38" i="14"/>
  <c r="C38" i="14"/>
  <c r="Q38" i="14" s="1"/>
  <c r="H37" i="14"/>
  <c r="Q37" i="14" s="1"/>
  <c r="C37" i="14"/>
  <c r="H36" i="14"/>
  <c r="C36" i="14"/>
  <c r="P36" i="14" s="1"/>
  <c r="H35" i="14"/>
  <c r="C35" i="14"/>
  <c r="H34" i="14"/>
  <c r="C34" i="14"/>
  <c r="R34" i="14" s="1"/>
  <c r="H33" i="14"/>
  <c r="C33" i="14"/>
  <c r="O33" i="14" s="1"/>
  <c r="H32" i="14"/>
  <c r="Q32" i="14" s="1"/>
  <c r="C32" i="14"/>
  <c r="M32" i="14" s="1"/>
  <c r="H31" i="14"/>
  <c r="C31" i="14"/>
  <c r="P30" i="14"/>
  <c r="H30" i="14"/>
  <c r="C30" i="14"/>
  <c r="O30" i="14" s="1"/>
  <c r="H29" i="14"/>
  <c r="C29" i="14"/>
  <c r="M29" i="14" s="1"/>
  <c r="H28" i="14"/>
  <c r="C28" i="14"/>
  <c r="Q28" i="14" s="1"/>
  <c r="S13" i="14"/>
  <c r="T13" i="14" s="1"/>
  <c r="Q13" i="14"/>
  <c r="R13" i="14" s="1"/>
  <c r="U13" i="14" s="1"/>
  <c r="U12" i="14"/>
  <c r="T12" i="14"/>
  <c r="S12" i="14"/>
  <c r="G36" i="14"/>
  <c r="S10" i="14"/>
  <c r="T10" i="14" s="1"/>
  <c r="Q10" i="14"/>
  <c r="R10" i="14" s="1"/>
  <c r="U10" i="14" s="1"/>
  <c r="U9" i="14"/>
  <c r="T9" i="14"/>
  <c r="S9" i="14"/>
  <c r="S7" i="14"/>
  <c r="T7" i="14" s="1"/>
  <c r="Q7" i="14"/>
  <c r="R7" i="14" s="1"/>
  <c r="U7" i="14" s="1"/>
  <c r="G39" i="14"/>
  <c r="U6" i="14"/>
  <c r="T6" i="14"/>
  <c r="S6" i="14"/>
  <c r="Q36" i="20" l="1"/>
  <c r="G30" i="18"/>
  <c r="I30" i="18" s="1"/>
  <c r="Q36" i="14"/>
  <c r="Q35" i="20"/>
  <c r="P30" i="16"/>
  <c r="O34" i="14"/>
  <c r="Q34" i="14"/>
  <c r="Q30" i="18"/>
  <c r="Q31" i="20"/>
  <c r="Q39" i="14"/>
  <c r="Q29" i="16"/>
  <c r="P40" i="16"/>
  <c r="P31" i="18"/>
  <c r="P37" i="16"/>
  <c r="M29" i="20"/>
  <c r="M36" i="20"/>
  <c r="P40" i="18"/>
  <c r="O34" i="20"/>
  <c r="P37" i="20"/>
  <c r="P37" i="17"/>
  <c r="Q40" i="18"/>
  <c r="O34" i="17"/>
  <c r="M31" i="20"/>
  <c r="O36" i="14"/>
  <c r="O29" i="20"/>
  <c r="Q29" i="14"/>
  <c r="Q35" i="16"/>
  <c r="O37" i="18"/>
  <c r="O29" i="14"/>
  <c r="Q35" i="14"/>
  <c r="Q36" i="17"/>
  <c r="Q34" i="20"/>
  <c r="O36" i="20"/>
  <c r="P33" i="16"/>
  <c r="M36" i="17"/>
  <c r="M39" i="18"/>
  <c r="G33" i="20"/>
  <c r="I33" i="20" s="1"/>
  <c r="N33" i="20" s="1"/>
  <c r="P36" i="20"/>
  <c r="O36" i="17"/>
  <c r="G30" i="17"/>
  <c r="I30" i="17" s="1"/>
  <c r="R30" i="17" s="1"/>
  <c r="P33" i="14"/>
  <c r="M30" i="16"/>
  <c r="P40" i="17"/>
  <c r="P33" i="20"/>
  <c r="P40" i="20"/>
  <c r="O39" i="14"/>
  <c r="M37" i="18"/>
  <c r="P36" i="18"/>
  <c r="Q36" i="18"/>
  <c r="M36" i="18"/>
  <c r="O37" i="14"/>
  <c r="P37" i="14"/>
  <c r="R39" i="17"/>
  <c r="Q39" i="17"/>
  <c r="M39" i="17"/>
  <c r="O31" i="14"/>
  <c r="M31" i="14"/>
  <c r="R34" i="18"/>
  <c r="O34" i="18"/>
  <c r="G38" i="14"/>
  <c r="I38" i="14" s="1"/>
  <c r="N38" i="14" s="1"/>
  <c r="G28" i="14"/>
  <c r="I28" i="14" s="1"/>
  <c r="N28" i="14" s="1"/>
  <c r="G35" i="14"/>
  <c r="K35" i="14" s="1"/>
  <c r="J35" i="14" s="1"/>
  <c r="G30" i="14"/>
  <c r="I30" i="14" s="1"/>
  <c r="R30" i="14" s="1"/>
  <c r="G40" i="14"/>
  <c r="K40" i="14" s="1"/>
  <c r="J40" i="14" s="1"/>
  <c r="G33" i="14"/>
  <c r="G38" i="16"/>
  <c r="K38" i="16" s="1"/>
  <c r="J38" i="16" s="1"/>
  <c r="G33" i="16"/>
  <c r="I33" i="16" s="1"/>
  <c r="N33" i="16" s="1"/>
  <c r="Q39" i="16"/>
  <c r="M39" i="16"/>
  <c r="G39" i="18"/>
  <c r="I39" i="18" s="1"/>
  <c r="P39" i="18" s="1"/>
  <c r="G34" i="18"/>
  <c r="I34" i="18" s="1"/>
  <c r="P34" i="18" s="1"/>
  <c r="Q39" i="20"/>
  <c r="M39" i="20"/>
  <c r="G35" i="16"/>
  <c r="I35" i="16" s="1"/>
  <c r="R35" i="16" s="1"/>
  <c r="G30" i="16"/>
  <c r="I30" i="16" s="1"/>
  <c r="R30" i="16" s="1"/>
  <c r="P36" i="16"/>
  <c r="Q36" i="16"/>
  <c r="M36" i="16"/>
  <c r="Q31" i="14"/>
  <c r="G37" i="14"/>
  <c r="I37" i="14" s="1"/>
  <c r="R37" i="14" s="1"/>
  <c r="O39" i="17"/>
  <c r="O39" i="20"/>
  <c r="P30" i="17"/>
  <c r="Q35" i="17"/>
  <c r="M30" i="18"/>
  <c r="P37" i="18"/>
  <c r="G28" i="20"/>
  <c r="K28" i="20" s="1"/>
  <c r="J28" i="20" s="1"/>
  <c r="O34" i="16"/>
  <c r="O29" i="17"/>
  <c r="G33" i="17"/>
  <c r="I33" i="17" s="1"/>
  <c r="N33" i="17" s="1"/>
  <c r="P30" i="18"/>
  <c r="G33" i="18"/>
  <c r="I33" i="18" s="1"/>
  <c r="N33" i="18" s="1"/>
  <c r="G40" i="18"/>
  <c r="K40" i="18" s="1"/>
  <c r="J40" i="18" s="1"/>
  <c r="G30" i="20"/>
  <c r="K30" i="20" s="1"/>
  <c r="J30" i="20" s="1"/>
  <c r="M29" i="17"/>
  <c r="M29" i="18"/>
  <c r="M33" i="18"/>
  <c r="Q35" i="18"/>
  <c r="O41" i="18"/>
  <c r="G37" i="20"/>
  <c r="K37" i="20" s="1"/>
  <c r="J37" i="20" s="1"/>
  <c r="M34" i="14"/>
  <c r="M36" i="14"/>
  <c r="P40" i="14"/>
  <c r="N42" i="14"/>
  <c r="Q29" i="17"/>
  <c r="P33" i="17"/>
  <c r="G37" i="17"/>
  <c r="K37" i="17" s="1"/>
  <c r="J37" i="17" s="1"/>
  <c r="P33" i="18"/>
  <c r="M40" i="18"/>
  <c r="P30" i="20"/>
  <c r="M34" i="20"/>
  <c r="G37" i="16"/>
  <c r="K37" i="16" s="1"/>
  <c r="J37" i="16" s="1"/>
  <c r="G40" i="17"/>
  <c r="I40" i="17" s="1"/>
  <c r="R40" i="17" s="1"/>
  <c r="Q33" i="18"/>
  <c r="G37" i="18"/>
  <c r="I37" i="18" s="1"/>
  <c r="R37" i="18" s="1"/>
  <c r="G40" i="20"/>
  <c r="I40" i="20" s="1"/>
  <c r="R40" i="20" s="1"/>
  <c r="K36" i="20"/>
  <c r="J36" i="20" s="1"/>
  <c r="I36" i="20"/>
  <c r="R36" i="20" s="1"/>
  <c r="K42" i="20"/>
  <c r="J42" i="20" s="1"/>
  <c r="I42" i="20"/>
  <c r="R42" i="20" s="1"/>
  <c r="I38" i="20"/>
  <c r="N38" i="20" s="1"/>
  <c r="K38" i="20"/>
  <c r="J38" i="20" s="1"/>
  <c r="K39" i="20"/>
  <c r="J39" i="20" s="1"/>
  <c r="I39" i="20"/>
  <c r="P39" i="20" s="1"/>
  <c r="K35" i="20"/>
  <c r="J35" i="20" s="1"/>
  <c r="I35" i="20"/>
  <c r="R35" i="20" s="1"/>
  <c r="R28" i="20"/>
  <c r="N35" i="20"/>
  <c r="O28" i="20"/>
  <c r="N29" i="20"/>
  <c r="R29" i="20"/>
  <c r="M30" i="20"/>
  <c r="Q30" i="20"/>
  <c r="G31" i="20"/>
  <c r="P31" i="20"/>
  <c r="O32" i="20"/>
  <c r="M33" i="20"/>
  <c r="Q33" i="20"/>
  <c r="G34" i="20"/>
  <c r="O35" i="20"/>
  <c r="N36" i="20"/>
  <c r="M37" i="20"/>
  <c r="O38" i="20"/>
  <c r="N39" i="20"/>
  <c r="R39" i="20"/>
  <c r="M40" i="20"/>
  <c r="Q40" i="20"/>
  <c r="G41" i="20"/>
  <c r="P41" i="20"/>
  <c r="O42" i="20"/>
  <c r="P28" i="20"/>
  <c r="N30" i="20"/>
  <c r="G32" i="20"/>
  <c r="P32" i="20"/>
  <c r="R33" i="20"/>
  <c r="P35" i="20"/>
  <c r="N37" i="20"/>
  <c r="P38" i="20"/>
  <c r="N40" i="20"/>
  <c r="M41" i="20"/>
  <c r="Q41" i="20"/>
  <c r="P42" i="20"/>
  <c r="N32" i="20"/>
  <c r="R38" i="20"/>
  <c r="N42" i="20"/>
  <c r="M28" i="20"/>
  <c r="G29" i="20"/>
  <c r="N31" i="20"/>
  <c r="N34" i="20"/>
  <c r="M35" i="20"/>
  <c r="M38" i="20"/>
  <c r="N41" i="20"/>
  <c r="K33" i="14"/>
  <c r="J33" i="14" s="1"/>
  <c r="K28" i="14"/>
  <c r="J28" i="14" s="1"/>
  <c r="I38" i="18"/>
  <c r="N38" i="18" s="1"/>
  <c r="K38" i="18"/>
  <c r="J38" i="18" s="1"/>
  <c r="K39" i="18"/>
  <c r="J39" i="18" s="1"/>
  <c r="K35" i="18"/>
  <c r="J35" i="18" s="1"/>
  <c r="I35" i="18"/>
  <c r="R35" i="18" s="1"/>
  <c r="K36" i="18"/>
  <c r="J36" i="18" s="1"/>
  <c r="I36" i="18"/>
  <c r="R36" i="18" s="1"/>
  <c r="K42" i="18"/>
  <c r="J42" i="18" s="1"/>
  <c r="I42" i="18"/>
  <c r="R42" i="18" s="1"/>
  <c r="R28" i="18"/>
  <c r="K30" i="18"/>
  <c r="J30" i="18" s="1"/>
  <c r="N29" i="18"/>
  <c r="O35" i="18"/>
  <c r="O38" i="18"/>
  <c r="N39" i="18"/>
  <c r="R39" i="18"/>
  <c r="O42" i="18"/>
  <c r="G28" i="18"/>
  <c r="P28" i="18"/>
  <c r="O29" i="18"/>
  <c r="N30" i="18"/>
  <c r="R30" i="18"/>
  <c r="M31" i="18"/>
  <c r="Q31" i="18"/>
  <c r="G32" i="18"/>
  <c r="P32" i="18"/>
  <c r="R33" i="18"/>
  <c r="M34" i="18"/>
  <c r="Q34" i="18"/>
  <c r="P35" i="18"/>
  <c r="O36" i="18"/>
  <c r="P38" i="18"/>
  <c r="O39" i="18"/>
  <c r="N40" i="18"/>
  <c r="M41" i="18"/>
  <c r="Q41" i="18"/>
  <c r="P42" i="18"/>
  <c r="N32" i="18"/>
  <c r="N35" i="18"/>
  <c r="R38" i="18"/>
  <c r="N42" i="18"/>
  <c r="O28" i="18"/>
  <c r="R29" i="18"/>
  <c r="G31" i="18"/>
  <c r="O32" i="18"/>
  <c r="N36" i="18"/>
  <c r="G41" i="18"/>
  <c r="M28" i="18"/>
  <c r="G29" i="18"/>
  <c r="N31" i="18"/>
  <c r="N34" i="18"/>
  <c r="M35" i="18"/>
  <c r="M38" i="18"/>
  <c r="N41" i="18"/>
  <c r="K39" i="17"/>
  <c r="J39" i="17" s="1"/>
  <c r="I39" i="17"/>
  <c r="P39" i="17" s="1"/>
  <c r="K38" i="17"/>
  <c r="J38" i="17" s="1"/>
  <c r="I38" i="17"/>
  <c r="N38" i="17" s="1"/>
  <c r="K36" i="17"/>
  <c r="J36" i="17" s="1"/>
  <c r="I36" i="17"/>
  <c r="R36" i="17" s="1"/>
  <c r="K42" i="17"/>
  <c r="J42" i="17" s="1"/>
  <c r="I42" i="17"/>
  <c r="R42" i="17" s="1"/>
  <c r="I35" i="17"/>
  <c r="R35" i="17" s="1"/>
  <c r="K35" i="17"/>
  <c r="J35" i="17" s="1"/>
  <c r="N32" i="17"/>
  <c r="R38" i="17"/>
  <c r="O28" i="17"/>
  <c r="N29" i="17"/>
  <c r="M30" i="17"/>
  <c r="Q30" i="17"/>
  <c r="G31" i="17"/>
  <c r="P31" i="17"/>
  <c r="O32" i="17"/>
  <c r="M33" i="17"/>
  <c r="Q33" i="17"/>
  <c r="G34" i="17"/>
  <c r="O35" i="17"/>
  <c r="N36" i="17"/>
  <c r="M37" i="17"/>
  <c r="O38" i="17"/>
  <c r="N39" i="17"/>
  <c r="M40" i="17"/>
  <c r="Q40" i="17"/>
  <c r="G41" i="17"/>
  <c r="P41" i="17"/>
  <c r="O42" i="17"/>
  <c r="R28" i="17"/>
  <c r="N35" i="17"/>
  <c r="G28" i="17"/>
  <c r="P28" i="17"/>
  <c r="N30" i="17"/>
  <c r="M31" i="17"/>
  <c r="Q31" i="17"/>
  <c r="G32" i="17"/>
  <c r="P32" i="17"/>
  <c r="R33" i="17"/>
  <c r="M34" i="17"/>
  <c r="Q34" i="17"/>
  <c r="P35" i="17"/>
  <c r="N37" i="17"/>
  <c r="P38" i="17"/>
  <c r="N40" i="17"/>
  <c r="M41" i="17"/>
  <c r="Q41" i="17"/>
  <c r="P42" i="17"/>
  <c r="N42" i="17"/>
  <c r="M28" i="17"/>
  <c r="G29" i="17"/>
  <c r="N31" i="17"/>
  <c r="N34" i="17"/>
  <c r="M35" i="17"/>
  <c r="M38" i="17"/>
  <c r="N41" i="17"/>
  <c r="K36" i="16"/>
  <c r="J36" i="16" s="1"/>
  <c r="I36" i="16"/>
  <c r="R36" i="16" s="1"/>
  <c r="I38" i="16"/>
  <c r="N38" i="16" s="1"/>
  <c r="K39" i="16"/>
  <c r="J39" i="16" s="1"/>
  <c r="I39" i="16"/>
  <c r="P39" i="16" s="1"/>
  <c r="K42" i="16"/>
  <c r="J42" i="16" s="1"/>
  <c r="I42" i="16"/>
  <c r="R42" i="16" s="1"/>
  <c r="N32" i="16"/>
  <c r="N35" i="16"/>
  <c r="K40" i="16"/>
  <c r="J40" i="16" s="1"/>
  <c r="O28" i="16"/>
  <c r="N29" i="16"/>
  <c r="R29" i="16"/>
  <c r="Q30" i="16"/>
  <c r="G31" i="16"/>
  <c r="P31" i="16"/>
  <c r="O32" i="16"/>
  <c r="M33" i="16"/>
  <c r="Q33" i="16"/>
  <c r="G34" i="16"/>
  <c r="O35" i="16"/>
  <c r="N36" i="16"/>
  <c r="M37" i="16"/>
  <c r="O38" i="16"/>
  <c r="N39" i="16"/>
  <c r="R39" i="16"/>
  <c r="M40" i="16"/>
  <c r="Q40" i="16"/>
  <c r="G41" i="16"/>
  <c r="P41" i="16"/>
  <c r="O42" i="16"/>
  <c r="G28" i="16"/>
  <c r="P28" i="16"/>
  <c r="O29" i="16"/>
  <c r="N30" i="16"/>
  <c r="M31" i="16"/>
  <c r="Q31" i="16"/>
  <c r="G32" i="16"/>
  <c r="P32" i="16"/>
  <c r="R33" i="16"/>
  <c r="M34" i="16"/>
  <c r="Q34" i="16"/>
  <c r="P35" i="16"/>
  <c r="O36" i="16"/>
  <c r="I37" i="16"/>
  <c r="R37" i="16" s="1"/>
  <c r="N37" i="16"/>
  <c r="P38" i="16"/>
  <c r="O39" i="16"/>
  <c r="N40" i="16"/>
  <c r="R40" i="16"/>
  <c r="M41" i="16"/>
  <c r="Q41" i="16"/>
  <c r="P42" i="16"/>
  <c r="R28" i="16"/>
  <c r="R38" i="16"/>
  <c r="N42" i="16"/>
  <c r="M28" i="16"/>
  <c r="G29" i="16"/>
  <c r="N31" i="16"/>
  <c r="N34" i="16"/>
  <c r="M35" i="16"/>
  <c r="M38" i="16"/>
  <c r="N41" i="16"/>
  <c r="K36" i="14"/>
  <c r="J36" i="14" s="1"/>
  <c r="I36" i="14"/>
  <c r="R36" i="14" s="1"/>
  <c r="K42" i="14"/>
  <c r="J42" i="14" s="1"/>
  <c r="I42" i="14"/>
  <c r="R42" i="14" s="1"/>
  <c r="K39" i="14"/>
  <c r="J39" i="14" s="1"/>
  <c r="I39" i="14"/>
  <c r="P39" i="14" s="1"/>
  <c r="I35" i="14"/>
  <c r="R35" i="14" s="1"/>
  <c r="R28" i="14"/>
  <c r="R38" i="14"/>
  <c r="O28" i="14"/>
  <c r="N29" i="14"/>
  <c r="R29" i="14"/>
  <c r="M30" i="14"/>
  <c r="Q30" i="14"/>
  <c r="G31" i="14"/>
  <c r="P31" i="14"/>
  <c r="O32" i="14"/>
  <c r="M33" i="14"/>
  <c r="Q33" i="14"/>
  <c r="G34" i="14"/>
  <c r="O35" i="14"/>
  <c r="N36" i="14"/>
  <c r="M37" i="14"/>
  <c r="O38" i="14"/>
  <c r="N39" i="14"/>
  <c r="R39" i="14"/>
  <c r="M40" i="14"/>
  <c r="Q40" i="14"/>
  <c r="G41" i="14"/>
  <c r="P41" i="14"/>
  <c r="O42" i="14"/>
  <c r="N32" i="14"/>
  <c r="N35" i="14"/>
  <c r="P28" i="14"/>
  <c r="N30" i="14"/>
  <c r="G32" i="14"/>
  <c r="P32" i="14"/>
  <c r="I33" i="14"/>
  <c r="N33" i="14" s="1"/>
  <c r="R33" i="14"/>
  <c r="P35" i="14"/>
  <c r="N37" i="14"/>
  <c r="P38" i="14"/>
  <c r="N40" i="14"/>
  <c r="M41" i="14"/>
  <c r="Q41" i="14"/>
  <c r="P42" i="14"/>
  <c r="M28" i="14"/>
  <c r="G29" i="14"/>
  <c r="N31" i="14"/>
  <c r="N34" i="14"/>
  <c r="M35" i="14"/>
  <c r="M38" i="14"/>
  <c r="N41" i="14"/>
  <c r="K35" i="16" l="1"/>
  <c r="J35" i="16" s="1"/>
  <c r="K33" i="16"/>
  <c r="J33" i="16" s="1"/>
  <c r="K40" i="17"/>
  <c r="J40" i="17" s="1"/>
  <c r="K33" i="17"/>
  <c r="J33" i="17" s="1"/>
  <c r="I37" i="20"/>
  <c r="R37" i="20" s="1"/>
  <c r="K37" i="18"/>
  <c r="J37" i="18" s="1"/>
  <c r="I30" i="20"/>
  <c r="R30" i="20" s="1"/>
  <c r="K30" i="17"/>
  <c r="J30" i="17" s="1"/>
  <c r="K33" i="20"/>
  <c r="J33" i="20" s="1"/>
  <c r="I40" i="14"/>
  <c r="R40" i="14" s="1"/>
  <c r="K37" i="14"/>
  <c r="J37" i="14" s="1"/>
  <c r="K30" i="16"/>
  <c r="J30" i="16" s="1"/>
  <c r="K38" i="14"/>
  <c r="J38" i="14" s="1"/>
  <c r="I40" i="18"/>
  <c r="R40" i="18" s="1"/>
  <c r="I28" i="20"/>
  <c r="N28" i="20" s="1"/>
  <c r="K40" i="20"/>
  <c r="J40" i="20" s="1"/>
  <c r="I37" i="17"/>
  <c r="R37" i="17" s="1"/>
  <c r="K33" i="18"/>
  <c r="J33" i="18" s="1"/>
  <c r="K30" i="14"/>
  <c r="J30" i="14" s="1"/>
  <c r="K34" i="18"/>
  <c r="J34" i="18" s="1"/>
  <c r="I31" i="20"/>
  <c r="R31" i="20" s="1"/>
  <c r="K31" i="20"/>
  <c r="J31" i="20" s="1"/>
  <c r="K32" i="20"/>
  <c r="J32" i="20" s="1"/>
  <c r="I32" i="20"/>
  <c r="R32" i="20" s="1"/>
  <c r="I41" i="20"/>
  <c r="R41" i="20" s="1"/>
  <c r="K41" i="20"/>
  <c r="J41" i="20" s="1"/>
  <c r="I34" i="20"/>
  <c r="P34" i="20" s="1"/>
  <c r="K34" i="20"/>
  <c r="J34" i="20" s="1"/>
  <c r="K29" i="20"/>
  <c r="J29" i="20" s="1"/>
  <c r="I29" i="20"/>
  <c r="P29" i="20" s="1"/>
  <c r="K29" i="18"/>
  <c r="J29" i="18" s="1"/>
  <c r="I29" i="18"/>
  <c r="P29" i="18" s="1"/>
  <c r="K28" i="18"/>
  <c r="J28" i="18" s="1"/>
  <c r="I28" i="18"/>
  <c r="N28" i="18" s="1"/>
  <c r="I41" i="18"/>
  <c r="R41" i="18" s="1"/>
  <c r="K41" i="18"/>
  <c r="J41" i="18" s="1"/>
  <c r="I31" i="18"/>
  <c r="R31" i="18" s="1"/>
  <c r="K31" i="18"/>
  <c r="J31" i="18" s="1"/>
  <c r="K32" i="18"/>
  <c r="J32" i="18" s="1"/>
  <c r="I32" i="18"/>
  <c r="R32" i="18" s="1"/>
  <c r="K28" i="17"/>
  <c r="J28" i="17" s="1"/>
  <c r="I28" i="17"/>
  <c r="N28" i="17" s="1"/>
  <c r="K29" i="17"/>
  <c r="J29" i="17" s="1"/>
  <c r="I29" i="17"/>
  <c r="P29" i="17" s="1"/>
  <c r="I34" i="17"/>
  <c r="P34" i="17" s="1"/>
  <c r="K34" i="17"/>
  <c r="J34" i="17" s="1"/>
  <c r="I32" i="17"/>
  <c r="R32" i="17" s="1"/>
  <c r="K32" i="17"/>
  <c r="J32" i="17" s="1"/>
  <c r="I41" i="17"/>
  <c r="R41" i="17" s="1"/>
  <c r="K41" i="17"/>
  <c r="J41" i="17" s="1"/>
  <c r="I31" i="17"/>
  <c r="R31" i="17" s="1"/>
  <c r="K31" i="17"/>
  <c r="J31" i="17" s="1"/>
  <c r="K29" i="16"/>
  <c r="J29" i="16" s="1"/>
  <c r="I29" i="16"/>
  <c r="P29" i="16" s="1"/>
  <c r="I41" i="16"/>
  <c r="R41" i="16" s="1"/>
  <c r="K41" i="16"/>
  <c r="J41" i="16" s="1"/>
  <c r="I28" i="16"/>
  <c r="N28" i="16" s="1"/>
  <c r="K28" i="16"/>
  <c r="J28" i="16" s="1"/>
  <c r="I34" i="16"/>
  <c r="P34" i="16" s="1"/>
  <c r="K34" i="16"/>
  <c r="J34" i="16" s="1"/>
  <c r="I31" i="16"/>
  <c r="R31" i="16" s="1"/>
  <c r="K31" i="16"/>
  <c r="J31" i="16" s="1"/>
  <c r="I32" i="16"/>
  <c r="R32" i="16" s="1"/>
  <c r="K32" i="16"/>
  <c r="J32" i="16" s="1"/>
  <c r="K29" i="14"/>
  <c r="J29" i="14" s="1"/>
  <c r="I29" i="14"/>
  <c r="P29" i="14" s="1"/>
  <c r="I32" i="14"/>
  <c r="R32" i="14" s="1"/>
  <c r="K32" i="14"/>
  <c r="J32" i="14" s="1"/>
  <c r="I41" i="14"/>
  <c r="R41" i="14" s="1"/>
  <c r="K41" i="14"/>
  <c r="J41" i="14" s="1"/>
  <c r="I31" i="14"/>
  <c r="R31" i="14" s="1"/>
  <c r="K31" i="14"/>
  <c r="J31" i="14" s="1"/>
  <c r="I34" i="14"/>
  <c r="P34" i="14" s="1"/>
  <c r="K34" i="14"/>
  <c r="J34" i="14" s="1"/>
</calcChain>
</file>

<file path=xl/sharedStrings.xml><?xml version="1.0" encoding="utf-8"?>
<sst xmlns="http://schemas.openxmlformats.org/spreadsheetml/2006/main" count="4294962156" uniqueCount="150">
  <si>
    <t>Certificado</t>
  </si>
  <si>
    <t>Código</t>
  </si>
  <si>
    <t>RBC</t>
  </si>
  <si>
    <t>Medição da resistência ôhmica do enrolamento:</t>
  </si>
  <si>
    <t>Verificar a elevação de temperatura média dos enrolamentos e pontos quentes do TC sob condições de operação que produzam as perdas máximas admissíveis.</t>
  </si>
  <si>
    <t>O ensaio de elevação de temperatura deve ser realizado de forma a reproduzir as perdas que influenciam na elevação de temperatura em condições normais de operação.</t>
  </si>
  <si>
    <t>12.1.3.1 - Aplicação da corrente de ensaio</t>
  </si>
  <si>
    <t>12.1.3.2 - Determinação da resistência a frio</t>
  </si>
  <si>
    <t>A aplicação da corrente pode ser feita por meio primário, com os secundários conectados ás cargas nominais, ou por meio de um ou mais secundários, com o primário e os secundários não alimentados curto-circuitados.</t>
  </si>
  <si>
    <t>O ensaio dever ser realizado com a circulação da corrente térmica contínua nominal em todos os seus enrolamentos.</t>
  </si>
  <si>
    <t>Para medição da resistência ôhmica do enrolamento utilizou-se um miliôhmimetro (ponte de Wheatstone) ligado nos terminais do chicote secundário nos cabos identificados sob condições ambientais definidas.</t>
  </si>
  <si>
    <t>O tempo necessário para a estabilização dos valores de corrente e tensão (método da queda de tensão) ou do valor da resistência (método ponte) deve ser registrado após a medição da resistênica, no início do ensaio. Este mesmo intervalo de tempo também deve ser considerado para efetuar as primeiras leituras no final do ensaio.</t>
  </si>
  <si>
    <t>O TC deve permanecer energizado até que a taxa de variação da elevação de temperatura não exceda 1 °C por hora durante três leituras consecutivas de elevação de temperatura.</t>
  </si>
  <si>
    <t>CLIENTE</t>
  </si>
  <si>
    <t>Objeto em Teste:</t>
  </si>
  <si>
    <t>Tipo:</t>
  </si>
  <si>
    <t>DADOS TÉCNICOS</t>
  </si>
  <si>
    <t>O TC deve atender aos requisitos de 5.6, não excedendo os valores de elevação de temperatura especificados na Tabela 12 da NBR 6856.</t>
  </si>
  <si>
    <t>12.1.3 - MÉTODO DE ENSAIO</t>
  </si>
  <si>
    <t>12.1.2 - PROCEDIMENTO</t>
  </si>
  <si>
    <t>12.1.1 - OBJETIVO</t>
  </si>
  <si>
    <t>PROCEDIMENTO DE ENSAIO</t>
  </si>
  <si>
    <t>A aplicação da corrente de ensaio pode ser feita ao enrolamento primário estando os enrolamentos secundários curto-circuitados ou conectados a instrumentos de medição, ou ainda pode-se alimentar enrolamentos secundários curto-circuitados ou conectados a instrumentos de medição.
Em caso de aplicação de corrente através de enrolamentos secundários, a corrente primária deve ser verificada por meio de sistema de medição independente ao TC, ou ainda por enrolamentos secundários que não estejam sendo alimentados pela fonte de corrente.</t>
  </si>
  <si>
    <t>EXECUÇÃO E ACOMPANHAMENTO</t>
  </si>
  <si>
    <t>SERTA Transformadores</t>
  </si>
  <si>
    <t xml:space="preserve">Endereço: </t>
  </si>
  <si>
    <t>RESPONSÁVEL TÉCNICO EM EXERCÍCIO</t>
  </si>
  <si>
    <t>1 - VERIFICAÇÃO DA MARCAÇÃO DOS TERMINAIS E POLARIDADE</t>
  </si>
  <si>
    <t>2 - EXATIDÃO</t>
  </si>
  <si>
    <t>FCR</t>
  </si>
  <si>
    <t>E %</t>
  </si>
  <si>
    <t>( VA )</t>
  </si>
  <si>
    <t>Ensaio (A)</t>
  </si>
  <si>
    <t>Medições Corrigidas</t>
  </si>
  <si>
    <t>Leituras</t>
  </si>
  <si>
    <t>Carga</t>
  </si>
  <si>
    <t>Relação /</t>
  </si>
  <si>
    <t>Erro Relação Inf</t>
  </si>
  <si>
    <t>Erro Relação Sup</t>
  </si>
  <si>
    <t>Clásse</t>
  </si>
  <si>
    <t>Fatores de Correção</t>
  </si>
  <si>
    <t xml:space="preserve">Temperatura Ambiente: </t>
  </si>
  <si>
    <t xml:space="preserve">Umidade: </t>
  </si>
  <si>
    <t>Condições Ambientais Para Ensaio</t>
  </si>
  <si>
    <t>Data da Emissão</t>
  </si>
  <si>
    <t xml:space="preserve">Nome: </t>
  </si>
  <si>
    <t>CEP:</t>
  </si>
  <si>
    <t>RESPONSÁVEIS EXECUÇÃO</t>
  </si>
  <si>
    <t>Eng. Daniel Costa Monteiro - SERTA</t>
  </si>
  <si>
    <t>Umidade medida (%):</t>
  </si>
  <si>
    <t>Ángulo</t>
  </si>
  <si>
    <t>RELATÓRIO:</t>
  </si>
  <si>
    <t>FABRICANTE</t>
  </si>
  <si>
    <t>Classe de Tensão (kV):</t>
  </si>
  <si>
    <t>Isolamento Nominal (kV):</t>
  </si>
  <si>
    <t>Participantes do Ensaio: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</si>
  <si>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quaisquer lotes;
A SERTA Transformadores manterá o original deste documento arquivado em meio eletrônico por um período de cinco anos.</t>
  </si>
  <si>
    <t xml:space="preserve">Antes de imprimir, pense em sua responsabilidade e compromisso com meio ambiente.           </t>
  </si>
  <si>
    <t>RASTREABILIDADE METROLÓGICA</t>
  </si>
  <si>
    <t>Instrumento</t>
  </si>
  <si>
    <t>Fabricante</t>
  </si>
  <si>
    <t>Data Calibração</t>
  </si>
  <si>
    <t>Data Próxima Calibração</t>
  </si>
  <si>
    <t>Temperatura Ambiente (ºC):</t>
  </si>
  <si>
    <t>MEDIÇÕES E RESULTADOS</t>
  </si>
  <si>
    <t>Nº SÉRIE:</t>
  </si>
  <si>
    <t>Data do Ensaio</t>
  </si>
  <si>
    <t>Incerteza</t>
  </si>
  <si>
    <t>Relação Nominal TC:</t>
  </si>
  <si>
    <t>Fator Térmico:</t>
  </si>
  <si>
    <t>b</t>
  </si>
  <si>
    <t>Carga para TC</t>
  </si>
  <si>
    <t>Medidor Relação de TC</t>
  </si>
  <si>
    <t xml:space="preserve">REGISTRO DE LEITURAS EXATIDÃO TC </t>
  </si>
  <si>
    <t>A Ensaio (%)</t>
  </si>
  <si>
    <t>TC Padrão CE</t>
  </si>
  <si>
    <t>Classe de Exatidão:</t>
  </si>
  <si>
    <t>Carga (VA):</t>
  </si>
  <si>
    <t>: Técnico Laboratório - SERTA</t>
  </si>
  <si>
    <t>33.040-230</t>
  </si>
  <si>
    <t>IEC</t>
  </si>
  <si>
    <t>Termigrômetro</t>
  </si>
  <si>
    <t>Glauber</t>
  </si>
  <si>
    <t>Para determinar a polaridade e verificar as marcações dos terminais, fazemos a comparação com um TC de polaridade conhecida durante teste de exatidão e conferimos as identificações do equipamento se estão conforme a norma de referência ou solicitações especificas do cliente.</t>
  </si>
  <si>
    <t>FASE - Nº Série</t>
  </si>
  <si>
    <t>Coordenador Qualidade - SERTA</t>
  </si>
  <si>
    <t>EMISSÃO DE RELATÓRIOS DE ENSAIO</t>
  </si>
  <si>
    <t>FR0200
Rev: 00</t>
  </si>
  <si>
    <t>0,5S 1%</t>
  </si>
  <si>
    <t>0,5S 5%</t>
  </si>
  <si>
    <t>0,5S 20, 100 e 120%</t>
  </si>
  <si>
    <t>Pontos 0,5S 1%</t>
  </si>
  <si>
    <t>Pntos 0,5S 5%</t>
  </si>
  <si>
    <t>Pontos 0,5S 20, 100 e 120%</t>
  </si>
  <si>
    <t>RELATÓRIO ENSAIO DE EXATIDÃO TC E VERIFICAÇÃO DA MARCAÇÃO DOS TERMINAIS E POLARIDADE - IEC 0,5S</t>
  </si>
  <si>
    <t>COMERCIAL INGEOELECTRICA SAS</t>
  </si>
  <si>
    <t>Carrera. 21, 169-7, Oficina 201, BOGOTÁ DC &gt; CO</t>
  </si>
  <si>
    <t>Conjuntos de Medição</t>
  </si>
  <si>
    <t>CMT17110</t>
  </si>
  <si>
    <t>38/95/---</t>
  </si>
  <si>
    <t>1,5</t>
  </si>
  <si>
    <t>0,5S</t>
  </si>
  <si>
    <t>Normas de referência:</t>
  </si>
  <si>
    <t>NTC 5933:2012 - (IEC 81689-1:2007) - IEC 61869-2:2012 -</t>
  </si>
  <si>
    <t>IEC 61869-3:2011 - IEC 61869-2:2013</t>
  </si>
  <si>
    <t>Tec. Responsável Glauber Antonio Pires Soares- SERTA</t>
  </si>
  <si>
    <t>METRINS</t>
  </si>
  <si>
    <t>CE 516</t>
  </si>
  <si>
    <t>Não</t>
  </si>
  <si>
    <t>Rastreável</t>
  </si>
  <si>
    <t>Rastrável</t>
  </si>
  <si>
    <t>Documento eletrônico com assinatura digital. A autenticidade deste documento pode ser verificada através de envio de e-mail para: inspecao@sertaconjuntosdemedicao.com.br</t>
  </si>
  <si>
    <t>Rua José Calixto, 200 - Santa Luzia - MG &gt; Brasil</t>
  </si>
  <si>
    <t>15ºC A 28ºC</t>
  </si>
  <si>
    <t>55% (+/- 20)</t>
  </si>
  <si>
    <t>0,02</t>
  </si>
  <si>
    <t>0,3</t>
  </si>
  <si>
    <t>4:1/1%</t>
  </si>
  <si>
    <t>4:1/5%</t>
  </si>
  <si>
    <t>4:1/10%</t>
  </si>
  <si>
    <t>4:1/20%</t>
  </si>
  <si>
    <t>4:1/50%</t>
  </si>
  <si>
    <t>4:1/75%</t>
  </si>
  <si>
    <t>4:1/100%</t>
  </si>
  <si>
    <t>4:1/120%</t>
  </si>
  <si>
    <t>4:1/150%</t>
  </si>
  <si>
    <t>B - 25757/25/04</t>
  </si>
  <si>
    <t>082</t>
  </si>
  <si>
    <t>A - 25757/25/05</t>
  </si>
  <si>
    <t>B - 25757/25/05</t>
  </si>
  <si>
    <t>c - 25757/25/05</t>
  </si>
  <si>
    <t>A - 25757/25/07</t>
  </si>
  <si>
    <t>B - 25757/25/07</t>
  </si>
  <si>
    <t>C - 25757/25/07</t>
  </si>
  <si>
    <t>A - 25757/25/08</t>
  </si>
  <si>
    <t>B - 25757/25/08</t>
  </si>
  <si>
    <t>C - 25757/25/08</t>
  </si>
  <si>
    <t>A - 25757/25/09</t>
  </si>
  <si>
    <t>B - 25757/25/09</t>
  </si>
  <si>
    <t>C - 25757/25/09</t>
  </si>
  <si>
    <t>A - 25757/25/11</t>
  </si>
  <si>
    <t>B - 25757/25/11</t>
  </si>
  <si>
    <t>C - 25757/25/11</t>
  </si>
  <si>
    <t>CE 156</t>
  </si>
  <si>
    <t>25757/25/0001 a 25757/25/0020</t>
  </si>
  <si>
    <t>RE25757 2025-01</t>
  </si>
  <si>
    <t>2/4:1</t>
  </si>
  <si>
    <t>Verificamos a exatidão do TC pelo método comparativo, liga-se em série os primários do TC sob ensaio e TC padrão. A diferença entre as correntes secundárias é levada a um circuito em ponte adequado para fins de medição.
O ensaio é realizado nas correntes especificadas pela classe de exatidão.
Para esse ensaio não foi considerada a influência do TP no TC.</t>
  </si>
  <si>
    <t>METRUM</t>
  </si>
  <si>
    <t>CE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</si>
</sst>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dd/mm/yy;@"/>
    <numFmt numFmtId="168" formatCode="[$-416]mmm\-yy;@"/>
  </numFmts>
  <fonts count="4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6"/>
      <color rgb="FF0070C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sz val="11"/>
      <color rgb="FF0070C0"/>
      <name val="Arial"/>
      <family val="2"/>
    </font>
    <font>
      <b/>
      <sz val="8"/>
      <name val="Symbol"/>
      <family val="1"/>
      <charset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2"/>
      <color rgb="FF0070C0"/>
      <name val="Arial"/>
      <family val="2"/>
    </font>
    <font>
      <i/>
      <sz val="14"/>
      <color rgb="FF0070C0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9"/>
      <color rgb="FF0070C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3A4F7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11" fontId="21" fillId="2" borderId="0" xfId="1" applyNumberFormat="1" applyFont="1" applyFill="1" applyAlignment="1" applyProtection="1">
      <alignment vertical="center"/>
      <protection locked="0"/>
    </xf>
    <xf numFmtId="0" fontId="19" fillId="2" borderId="0" xfId="1" applyFont="1" applyFill="1" applyAlignment="1" applyProtection="1">
      <alignment vertical="center"/>
      <protection locked="0"/>
    </xf>
    <xf numFmtId="11" fontId="19" fillId="2" borderId="0" xfId="1" applyNumberFormat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0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top"/>
      <protection locked="0"/>
    </xf>
    <xf numFmtId="0" fontId="25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horizontal="center" vertical="center"/>
      <protection locked="0"/>
    </xf>
    <xf numFmtId="0" fontId="28" fillId="2" borderId="0" xfId="1" applyFont="1" applyFill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center" vertical="center"/>
      <protection locked="0"/>
    </xf>
    <xf numFmtId="0" fontId="28" fillId="2" borderId="14" xfId="1" applyFont="1" applyFill="1" applyBorder="1" applyAlignment="1" applyProtection="1">
      <alignment horizontal="center" vertical="center"/>
      <protection locked="0"/>
    </xf>
    <xf numFmtId="0" fontId="28" fillId="2" borderId="19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Protection="1">
      <protection locked="0"/>
    </xf>
    <xf numFmtId="0" fontId="27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right" vertical="center"/>
      <protection locked="0"/>
    </xf>
    <xf numFmtId="0" fontId="20" fillId="2" borderId="0" xfId="1" applyFont="1" applyFill="1" applyAlignment="1" applyProtection="1">
      <alignment horizontal="left" vertical="center"/>
      <protection locked="0"/>
    </xf>
    <xf numFmtId="0" fontId="35" fillId="34" borderId="10" xfId="1" applyFont="1" applyFill="1" applyBorder="1" applyAlignment="1" applyProtection="1">
      <alignment horizontal="center" vertical="center" wrapText="1"/>
      <protection locked="0"/>
    </xf>
    <xf numFmtId="0" fontId="19" fillId="2" borderId="0" xfId="1" applyFont="1" applyFill="1" applyAlignment="1" applyProtection="1">
      <alignment horizontal="left" vertical="top"/>
      <protection locked="0"/>
    </xf>
    <xf numFmtId="0" fontId="26" fillId="2" borderId="0" xfId="43" applyFont="1" applyFill="1" applyAlignment="1">
      <alignment vertical="top"/>
    </xf>
    <xf numFmtId="0" fontId="26" fillId="2" borderId="0" xfId="43" applyFont="1" applyFill="1" applyAlignment="1">
      <alignment vertical="center"/>
    </xf>
    <xf numFmtId="0" fontId="26" fillId="2" borderId="0" xfId="43" applyFont="1" applyFill="1" applyAlignment="1">
      <alignment horizontal="left" vertical="top"/>
    </xf>
    <xf numFmtId="0" fontId="26" fillId="2" borderId="20" xfId="43" applyFont="1" applyFill="1" applyBorder="1" applyAlignment="1">
      <alignment vertical="top"/>
    </xf>
    <xf numFmtId="0" fontId="26" fillId="2" borderId="11" xfId="43" applyFont="1" applyFill="1" applyBorder="1" applyAlignment="1">
      <alignment vertical="top"/>
    </xf>
    <xf numFmtId="0" fontId="26" fillId="2" borderId="13" xfId="43" applyFont="1" applyFill="1" applyBorder="1" applyAlignment="1">
      <alignment vertical="top"/>
    </xf>
    <xf numFmtId="0" fontId="26" fillId="2" borderId="14" xfId="43" applyFont="1" applyFill="1" applyBorder="1" applyAlignment="1">
      <alignment vertical="top"/>
    </xf>
    <xf numFmtId="0" fontId="21" fillId="2" borderId="13" xfId="1" applyFont="1" applyFill="1" applyBorder="1" applyProtection="1">
      <protection locked="0"/>
    </xf>
    <xf numFmtId="0" fontId="26" fillId="2" borderId="17" xfId="43" applyFont="1" applyFill="1" applyBorder="1" applyAlignment="1">
      <alignment vertical="top"/>
    </xf>
    <xf numFmtId="0" fontId="26" fillId="2" borderId="15" xfId="43" applyFont="1" applyFill="1" applyBorder="1" applyAlignment="1">
      <alignment vertical="top"/>
    </xf>
    <xf numFmtId="0" fontId="19" fillId="2" borderId="0" xfId="43" applyFont="1" applyFill="1" applyAlignment="1">
      <alignment vertical="top"/>
    </xf>
    <xf numFmtId="14" fontId="26" fillId="2" borderId="0" xfId="43" applyNumberFormat="1" applyFont="1" applyFill="1" applyAlignment="1">
      <alignment horizontal="center" vertical="top"/>
    </xf>
    <xf numFmtId="0" fontId="24" fillId="2" borderId="0" xfId="43" applyFont="1" applyFill="1" applyAlignment="1">
      <alignment vertical="center"/>
    </xf>
    <xf numFmtId="0" fontId="23" fillId="2" borderId="0" xfId="1" applyFont="1" applyFill="1" applyAlignment="1" applyProtection="1">
      <alignment vertical="center"/>
      <protection locked="0"/>
    </xf>
    <xf numFmtId="14" fontId="21" fillId="2" borderId="0" xfId="1" applyNumberFormat="1" applyFont="1" applyFill="1" applyAlignment="1" applyProtection="1">
      <alignment horizontal="center" vertical="center"/>
      <protection locked="0"/>
    </xf>
    <xf numFmtId="0" fontId="28" fillId="34" borderId="10" xfId="1" applyFont="1" applyFill="1" applyBorder="1" applyAlignment="1" applyProtection="1">
      <alignment horizontal="center" vertical="center"/>
      <protection locked="0"/>
    </xf>
    <xf numFmtId="0" fontId="35" fillId="2" borderId="10" xfId="1" applyFont="1" applyFill="1" applyBorder="1" applyAlignment="1" applyProtection="1">
      <alignment horizontal="center" vertical="center" wrapText="1"/>
      <protection locked="0"/>
    </xf>
    <xf numFmtId="0" fontId="28" fillId="2" borderId="10" xfId="1" applyFont="1" applyFill="1" applyBorder="1" applyAlignment="1" applyProtection="1">
      <alignment horizontal="center" vertical="center"/>
      <protection locked="0"/>
    </xf>
    <xf numFmtId="0" fontId="29" fillId="2" borderId="10" xfId="1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22" fillId="0" borderId="0" xfId="1" quotePrefix="1" applyFont="1" applyAlignment="1" applyProtection="1">
      <alignment vertical="center"/>
      <protection locked="0"/>
    </xf>
    <xf numFmtId="0" fontId="21" fillId="0" borderId="0" xfId="1" applyFont="1" applyAlignment="1" applyProtection="1">
      <alignment horizontal="right" vertical="center"/>
      <protection locked="0"/>
    </xf>
    <xf numFmtId="0" fontId="21" fillId="0" borderId="16" xfId="1" applyFont="1" applyBorder="1" applyAlignment="1" applyProtection="1">
      <alignment vertical="center"/>
      <protection locked="0"/>
    </xf>
    <xf numFmtId="0" fontId="22" fillId="0" borderId="16" xfId="1" applyFont="1" applyBorder="1" applyAlignment="1" applyProtection="1">
      <alignment vertical="center"/>
      <protection locked="0"/>
    </xf>
    <xf numFmtId="0" fontId="36" fillId="0" borderId="16" xfId="1" quotePrefix="1" applyFont="1" applyBorder="1" applyAlignment="1" applyProtection="1">
      <alignment horizontal="center" vertical="center"/>
      <protection locked="0"/>
    </xf>
    <xf numFmtId="0" fontId="21" fillId="0" borderId="16" xfId="1" applyFont="1" applyBorder="1" applyAlignment="1" applyProtection="1">
      <alignment horizontal="right" vertical="center"/>
      <protection locked="0"/>
    </xf>
    <xf numFmtId="14" fontId="36" fillId="0" borderId="16" xfId="1" applyNumberFormat="1" applyFont="1" applyBorder="1" applyAlignment="1" applyProtection="1">
      <alignment horizontal="center" vertical="center"/>
      <protection locked="0"/>
    </xf>
    <xf numFmtId="0" fontId="26" fillId="35" borderId="0" xfId="1" applyFont="1" applyFill="1" applyAlignment="1" applyProtection="1">
      <alignment vertical="center"/>
      <protection locked="0"/>
    </xf>
    <xf numFmtId="0" fontId="20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5" fillId="2" borderId="0" xfId="1" applyFont="1" applyFill="1" applyAlignment="1" applyProtection="1">
      <alignment horizontal="left" vertical="center"/>
      <protection locked="0"/>
    </xf>
    <xf numFmtId="0" fontId="37" fillId="2" borderId="0" xfId="1" applyFont="1" applyFill="1" applyAlignment="1" applyProtection="1">
      <alignment horizontal="center" vertical="center"/>
      <protection locked="0"/>
    </xf>
    <xf numFmtId="0" fontId="22" fillId="2" borderId="0" xfId="1" applyFont="1" applyFill="1" applyAlignment="1" applyProtection="1">
      <alignment horizontal="left" vertical="center"/>
      <protection locked="0"/>
    </xf>
    <xf numFmtId="0" fontId="21" fillId="0" borderId="0" xfId="1" applyFont="1" applyProtection="1">
      <protection locked="0"/>
    </xf>
    <xf numFmtId="0" fontId="35" fillId="34" borderId="19" xfId="1" applyFont="1" applyFill="1" applyBorder="1" applyAlignment="1" applyProtection="1">
      <alignment horizontal="center" vertical="center" wrapText="1"/>
      <protection locked="0"/>
    </xf>
    <xf numFmtId="164" fontId="39" fillId="2" borderId="10" xfId="1" applyNumberFormat="1" applyFont="1" applyFill="1" applyBorder="1" applyAlignment="1" applyProtection="1">
      <alignment horizontal="center" vertical="center"/>
      <protection locked="0"/>
    </xf>
    <xf numFmtId="0" fontId="35" fillId="2" borderId="10" xfId="1" applyFont="1" applyFill="1" applyBorder="1" applyAlignment="1" applyProtection="1">
      <alignment horizontal="center" vertical="center"/>
      <protection locked="0"/>
    </xf>
    <xf numFmtId="0" fontId="34" fillId="2" borderId="0" xfId="1" applyFont="1" applyFill="1" applyAlignment="1" applyProtection="1">
      <alignment horizontal="right" vertical="center"/>
      <protection locked="0"/>
    </xf>
    <xf numFmtId="49" fontId="30" fillId="2" borderId="10" xfId="1" applyNumberFormat="1" applyFont="1" applyFill="1" applyBorder="1" applyAlignment="1" applyProtection="1">
      <alignment horizontal="center" vertical="center"/>
      <protection locked="0"/>
    </xf>
    <xf numFmtId="0" fontId="28" fillId="2" borderId="20" xfId="1" applyFont="1" applyFill="1" applyBorder="1" applyAlignment="1" applyProtection="1">
      <alignment horizontal="center" vertical="center"/>
      <protection locked="0"/>
    </xf>
    <xf numFmtId="0" fontId="28" fillId="2" borderId="11" xfId="1" applyFont="1" applyFill="1" applyBorder="1" applyAlignment="1" applyProtection="1">
      <alignment horizontal="left" vertical="center"/>
      <protection locked="0"/>
    </xf>
    <xf numFmtId="0" fontId="22" fillId="2" borderId="0" xfId="1" applyFont="1" applyFill="1" applyAlignment="1" applyProtection="1">
      <alignment horizontal="right"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19" fillId="2" borderId="0" xfId="1" applyFont="1" applyFill="1" applyProtection="1">
      <protection locked="0"/>
    </xf>
    <xf numFmtId="49" fontId="22" fillId="2" borderId="0" xfId="1" quotePrefix="1" applyNumberFormat="1" applyFont="1" applyFill="1" applyAlignment="1" applyProtection="1">
      <alignment horizontal="left" vertical="center"/>
      <protection locked="0"/>
    </xf>
    <xf numFmtId="0" fontId="28" fillId="2" borderId="11" xfId="1" applyFont="1" applyFill="1" applyBorder="1" applyAlignment="1" applyProtection="1">
      <alignment horizontal="center" vertical="center"/>
      <protection locked="0"/>
    </xf>
    <xf numFmtId="0" fontId="28" fillId="2" borderId="25" xfId="1" applyFont="1" applyFill="1" applyBorder="1" applyAlignment="1" applyProtection="1">
      <alignment horizontal="center" vertical="center"/>
      <protection locked="0"/>
    </xf>
    <xf numFmtId="0" fontId="28" fillId="2" borderId="13" xfId="1" applyFont="1" applyFill="1" applyBorder="1" applyAlignment="1" applyProtection="1">
      <alignment horizontal="center" vertical="center"/>
      <protection locked="0"/>
    </xf>
    <xf numFmtId="0" fontId="31" fillId="2" borderId="10" xfId="1" applyFont="1" applyFill="1" applyBorder="1" applyAlignment="1" applyProtection="1">
      <alignment horizontal="center" vertical="center"/>
      <protection locked="0"/>
    </xf>
    <xf numFmtId="0" fontId="31" fillId="0" borderId="10" xfId="1" applyFont="1" applyBorder="1" applyAlignment="1" applyProtection="1">
      <alignment horizontal="center" vertical="center" wrapText="1"/>
      <protection locked="0"/>
    </xf>
    <xf numFmtId="14" fontId="31" fillId="0" borderId="10" xfId="1" applyNumberFormat="1" applyFont="1" applyBorder="1" applyAlignment="1" applyProtection="1">
      <alignment horizontal="center" vertical="center" wrapText="1"/>
      <protection locked="0"/>
    </xf>
    <xf numFmtId="168" fontId="31" fillId="0" borderId="10" xfId="1" applyNumberFormat="1" applyFont="1" applyBorder="1" applyAlignment="1" applyProtection="1">
      <alignment horizontal="center" vertical="center" wrapText="1"/>
      <protection locked="0"/>
    </xf>
    <xf numFmtId="0" fontId="31" fillId="2" borderId="18" xfId="1" applyFont="1" applyFill="1" applyBorder="1" applyAlignment="1" applyProtection="1">
      <alignment horizontal="left" vertical="center" indent="1"/>
      <protection locked="0"/>
    </xf>
    <xf numFmtId="0" fontId="31" fillId="2" borderId="18" xfId="1" applyFont="1" applyFill="1" applyBorder="1" applyAlignment="1" applyProtection="1">
      <alignment horizontal="left" vertical="center" indent="3"/>
      <protection locked="0"/>
    </xf>
    <xf numFmtId="0" fontId="31" fillId="2" borderId="19" xfId="1" applyFont="1" applyFill="1" applyBorder="1" applyAlignment="1" applyProtection="1">
      <alignment horizontal="left" vertical="center" indent="3"/>
      <protection locked="0"/>
    </xf>
    <xf numFmtId="0" fontId="31" fillId="2" borderId="19" xfId="1" applyFont="1" applyFill="1" applyBorder="1" applyAlignment="1" applyProtection="1">
      <alignment horizontal="left" vertical="center" wrapText="1"/>
      <protection locked="0"/>
    </xf>
    <xf numFmtId="164" fontId="39" fillId="2" borderId="26" xfId="1" applyNumberFormat="1" applyFont="1" applyFill="1" applyBorder="1" applyAlignment="1" applyProtection="1">
      <alignment horizontal="center" vertical="center"/>
      <protection locked="0"/>
    </xf>
    <xf numFmtId="165" fontId="39" fillId="2" borderId="10" xfId="1" applyNumberFormat="1" applyFont="1" applyFill="1" applyBorder="1" applyAlignment="1" applyProtection="1">
      <alignment horizontal="center" vertical="center"/>
      <protection locked="0"/>
    </xf>
    <xf numFmtId="165" fontId="39" fillId="2" borderId="26" xfId="1" applyNumberFormat="1" applyFont="1" applyFill="1" applyBorder="1" applyAlignment="1" applyProtection="1">
      <alignment horizontal="center" vertical="center"/>
      <protection locked="0"/>
    </xf>
    <xf numFmtId="0" fontId="22" fillId="36" borderId="0" xfId="1" applyFont="1" applyFill="1" applyAlignment="1" applyProtection="1">
      <alignment vertical="center"/>
      <protection locked="0"/>
    </xf>
    <xf numFmtId="0" fontId="21" fillId="36" borderId="0" xfId="1" applyFont="1" applyFill="1" applyAlignment="1" applyProtection="1">
      <alignment horizontal="left" vertical="center"/>
      <protection locked="0"/>
    </xf>
    <xf numFmtId="0" fontId="28" fillId="2" borderId="23" xfId="1" applyFont="1" applyFill="1" applyBorder="1" applyAlignment="1" applyProtection="1">
      <alignment horizontal="center" vertical="center"/>
      <protection locked="0"/>
    </xf>
    <xf numFmtId="0" fontId="35" fillId="2" borderId="22" xfId="1" applyFont="1" applyFill="1" applyBorder="1" applyAlignment="1" applyProtection="1">
      <alignment horizontal="center" vertical="center"/>
      <protection locked="0"/>
    </xf>
    <xf numFmtId="0" fontId="28" fillId="37" borderId="10" xfId="1" applyFont="1" applyFill="1" applyBorder="1" applyAlignment="1" applyProtection="1">
      <alignment horizontal="center" vertical="center"/>
      <protection locked="0"/>
    </xf>
    <xf numFmtId="0" fontId="28" fillId="38" borderId="10" xfId="1" applyFont="1" applyFill="1" applyBorder="1" applyAlignment="1" applyProtection="1">
      <alignment horizontal="center" vertical="center"/>
      <protection locked="0"/>
    </xf>
    <xf numFmtId="0" fontId="28" fillId="39" borderId="10" xfId="1" applyFont="1" applyFill="1" applyBorder="1" applyAlignment="1" applyProtection="1">
      <alignment horizontal="center" vertical="center"/>
      <protection locked="0"/>
    </xf>
    <xf numFmtId="0" fontId="32" fillId="2" borderId="22" xfId="1" applyFont="1" applyFill="1" applyBorder="1" applyAlignment="1" applyProtection="1">
      <alignment horizontal="center" vertical="center"/>
      <protection locked="0"/>
    </xf>
    <xf numFmtId="165" fontId="39" fillId="2" borderId="39" xfId="1" applyNumberFormat="1" applyFont="1" applyFill="1" applyBorder="1" applyAlignment="1" applyProtection="1">
      <alignment horizontal="center" vertical="center"/>
      <protection locked="0"/>
    </xf>
    <xf numFmtId="164" fontId="39" fillId="2" borderId="39" xfId="1" applyNumberFormat="1" applyFont="1" applyFill="1" applyBorder="1" applyAlignment="1" applyProtection="1">
      <alignment horizontal="center" vertical="center"/>
      <protection locked="0"/>
    </xf>
    <xf numFmtId="0" fontId="33" fillId="2" borderId="44" xfId="1" applyFont="1" applyFill="1" applyBorder="1" applyAlignment="1" applyProtection="1">
      <alignment vertical="center"/>
      <protection locked="0"/>
    </xf>
    <xf numFmtId="0" fontId="33" fillId="2" borderId="45" xfId="1" applyFont="1" applyFill="1" applyBorder="1" applyAlignment="1" applyProtection="1">
      <alignment horizontal="right" vertical="center"/>
      <protection locked="0"/>
    </xf>
    <xf numFmtId="0" fontId="32" fillId="2" borderId="42" xfId="1" applyFont="1" applyFill="1" applyBorder="1" applyAlignment="1" applyProtection="1">
      <alignment horizontal="center" vertical="center"/>
      <protection locked="0"/>
    </xf>
    <xf numFmtId="0" fontId="29" fillId="2" borderId="47" xfId="1" applyFont="1" applyFill="1" applyBorder="1" applyAlignment="1" applyProtection="1">
      <alignment vertical="center" wrapText="1"/>
      <protection locked="0"/>
    </xf>
    <xf numFmtId="49" fontId="30" fillId="2" borderId="48" xfId="1" applyNumberFormat="1" applyFont="1" applyFill="1" applyBorder="1" applyAlignment="1" applyProtection="1">
      <alignment horizontal="center" vertical="center"/>
      <protection locked="0"/>
    </xf>
    <xf numFmtId="0" fontId="29" fillId="2" borderId="41" xfId="1" applyFont="1" applyFill="1" applyBorder="1" applyAlignment="1" applyProtection="1">
      <alignment vertical="center" wrapText="1"/>
      <protection locked="0"/>
    </xf>
    <xf numFmtId="49" fontId="30" fillId="2" borderId="42" xfId="1" applyNumberFormat="1" applyFont="1" applyFill="1" applyBorder="1" applyAlignment="1" applyProtection="1">
      <alignment horizontal="center" vertical="center"/>
      <protection locked="0"/>
    </xf>
    <xf numFmtId="0" fontId="28" fillId="2" borderId="49" xfId="1" applyFont="1" applyFill="1" applyBorder="1" applyAlignment="1" applyProtection="1">
      <alignment horizontal="center" vertical="center"/>
      <protection locked="0"/>
    </xf>
    <xf numFmtId="0" fontId="28" fillId="2" borderId="48" xfId="1" applyFont="1" applyFill="1" applyBorder="1" applyAlignment="1" applyProtection="1">
      <alignment horizontal="center" vertical="center"/>
      <protection locked="0"/>
    </xf>
    <xf numFmtId="0" fontId="29" fillId="2" borderId="24" xfId="1" applyFont="1" applyFill="1" applyBorder="1" applyAlignment="1" applyProtection="1">
      <alignment horizontal="left" vertical="center"/>
      <protection locked="0"/>
    </xf>
    <xf numFmtId="0" fontId="28" fillId="2" borderId="42" xfId="1" applyFont="1" applyFill="1" applyBorder="1" applyAlignment="1" applyProtection="1">
      <alignment horizontal="center" vertical="center"/>
      <protection locked="0"/>
    </xf>
    <xf numFmtId="0" fontId="29" fillId="2" borderId="30" xfId="1" applyFont="1" applyFill="1" applyBorder="1" applyAlignment="1" applyProtection="1">
      <alignment vertical="center"/>
      <protection locked="0"/>
    </xf>
    <xf numFmtId="0" fontId="28" fillId="2" borderId="52" xfId="1" applyFont="1" applyFill="1" applyBorder="1" applyAlignment="1" applyProtection="1">
      <alignment horizontal="center" vertical="center"/>
      <protection locked="0"/>
    </xf>
    <xf numFmtId="0" fontId="28" fillId="2" borderId="53" xfId="1" applyFont="1" applyFill="1" applyBorder="1" applyAlignment="1" applyProtection="1">
      <alignment horizontal="center" vertical="center"/>
      <protection locked="0"/>
    </xf>
    <xf numFmtId="0" fontId="28" fillId="2" borderId="27" xfId="1" applyFont="1" applyFill="1" applyBorder="1" applyAlignment="1" applyProtection="1">
      <alignment horizontal="left" vertical="center"/>
      <protection locked="0"/>
    </xf>
    <xf numFmtId="0" fontId="28" fillId="2" borderId="28" xfId="1" applyFont="1" applyFill="1" applyBorder="1" applyAlignment="1" applyProtection="1">
      <alignment horizontal="center" vertical="center"/>
      <protection locked="0"/>
    </xf>
    <xf numFmtId="0" fontId="30" fillId="2" borderId="40" xfId="1" applyFont="1" applyFill="1" applyBorder="1" applyAlignment="1" applyProtection="1">
      <alignment horizontal="center" vertical="center"/>
      <protection locked="0"/>
    </xf>
    <xf numFmtId="0" fontId="28" fillId="2" borderId="30" xfId="1" applyFont="1" applyFill="1" applyBorder="1" applyAlignment="1" applyProtection="1">
      <alignment horizontal="left" vertical="center"/>
      <protection locked="0"/>
    </xf>
    <xf numFmtId="0" fontId="28" fillId="2" borderId="31" xfId="1" applyFont="1" applyFill="1" applyBorder="1" applyAlignment="1" applyProtection="1">
      <alignment horizontal="center" vertical="center"/>
      <protection locked="0"/>
    </xf>
    <xf numFmtId="0" fontId="30" fillId="2" borderId="43" xfId="1" applyFont="1" applyFill="1" applyBorder="1" applyAlignment="1" applyProtection="1">
      <alignment horizontal="center" vertical="center"/>
      <protection locked="0"/>
    </xf>
    <xf numFmtId="49" fontId="30" fillId="2" borderId="38" xfId="1" applyNumberFormat="1" applyFont="1" applyFill="1" applyBorder="1" applyAlignment="1" applyProtection="1">
      <alignment horizontal="left" vertical="center"/>
      <protection locked="0"/>
    </xf>
    <xf numFmtId="165" fontId="28" fillId="2" borderId="10" xfId="1" applyNumberFormat="1" applyFont="1" applyFill="1" applyBorder="1" applyAlignment="1" applyProtection="1">
      <alignment horizontal="center" vertical="center"/>
      <protection locked="0"/>
    </xf>
    <xf numFmtId="20" fontId="28" fillId="2" borderId="24" xfId="1" applyNumberFormat="1" applyFont="1" applyFill="1" applyBorder="1" applyAlignment="1" applyProtection="1">
      <alignment horizontal="center" vertical="center"/>
      <protection locked="0"/>
    </xf>
    <xf numFmtId="0" fontId="28" fillId="2" borderId="24" xfId="1" applyFont="1" applyFill="1" applyBorder="1" applyAlignment="1" applyProtection="1">
      <alignment horizontal="center" vertical="center"/>
      <protection locked="0"/>
    </xf>
    <xf numFmtId="167" fontId="39" fillId="2" borderId="54" xfId="1" applyNumberFormat="1" applyFont="1" applyFill="1" applyBorder="1" applyAlignment="1" applyProtection="1">
      <alignment horizontal="center" vertical="center"/>
      <protection locked="0"/>
    </xf>
    <xf numFmtId="0" fontId="30" fillId="2" borderId="21" xfId="1" applyFont="1" applyFill="1" applyBorder="1" applyAlignment="1" applyProtection="1">
      <alignment horizontal="center" vertical="center"/>
      <protection locked="0"/>
    </xf>
    <xf numFmtId="165" fontId="39" fillId="2" borderId="21" xfId="1" applyNumberFormat="1" applyFont="1" applyFill="1" applyBorder="1" applyAlignment="1" applyProtection="1">
      <alignment horizontal="center" vertical="center"/>
      <protection locked="0"/>
    </xf>
    <xf numFmtId="164" fontId="39" fillId="2" borderId="21" xfId="1" applyNumberFormat="1" applyFont="1" applyFill="1" applyBorder="1" applyAlignment="1" applyProtection="1">
      <alignment horizontal="center" vertical="center"/>
      <protection locked="0"/>
    </xf>
    <xf numFmtId="165" fontId="39" fillId="2" borderId="56" xfId="1" applyNumberFormat="1" applyFont="1" applyFill="1" applyBorder="1" applyAlignment="1" applyProtection="1">
      <alignment horizontal="center" vertical="center"/>
      <protection locked="0"/>
    </xf>
    <xf numFmtId="164" fontId="39" fillId="2" borderId="56" xfId="1" applyNumberFormat="1" applyFont="1" applyFill="1" applyBorder="1" applyAlignment="1" applyProtection="1">
      <alignment horizontal="center" vertical="center"/>
      <protection locked="0"/>
    </xf>
    <xf numFmtId="0" fontId="29" fillId="2" borderId="41" xfId="1" applyFont="1" applyFill="1" applyBorder="1" applyAlignment="1" applyProtection="1">
      <alignment horizontal="center" vertical="center"/>
      <protection locked="0"/>
    </xf>
    <xf numFmtId="165" fontId="40" fillId="2" borderId="39" xfId="1" applyNumberFormat="1" applyFont="1" applyFill="1" applyBorder="1" applyAlignment="1">
      <alignment horizontal="center" vertical="center"/>
    </xf>
    <xf numFmtId="165" fontId="1" fillId="2" borderId="40" xfId="1" applyNumberFormat="1" applyFill="1" applyBorder="1" applyAlignment="1">
      <alignment horizontal="center" vertical="center"/>
    </xf>
    <xf numFmtId="165" fontId="40" fillId="2" borderId="10" xfId="1" applyNumberFormat="1" applyFont="1" applyFill="1" applyBorder="1" applyAlignment="1">
      <alignment horizontal="center" vertical="center"/>
    </xf>
    <xf numFmtId="165" fontId="1" fillId="2" borderId="42" xfId="1" applyNumberFormat="1" applyFill="1" applyBorder="1" applyAlignment="1">
      <alignment horizontal="center" vertical="center"/>
    </xf>
    <xf numFmtId="165" fontId="40" fillId="2" borderId="56" xfId="1" applyNumberFormat="1" applyFont="1" applyFill="1" applyBorder="1" applyAlignment="1">
      <alignment horizontal="center" vertical="center"/>
    </xf>
    <xf numFmtId="165" fontId="1" fillId="2" borderId="55" xfId="1" applyNumberFormat="1" applyFill="1" applyBorder="1" applyAlignment="1">
      <alignment horizontal="center" vertical="center"/>
    </xf>
    <xf numFmtId="165" fontId="40" fillId="2" borderId="21" xfId="1" applyNumberFormat="1" applyFont="1" applyFill="1" applyBorder="1" applyAlignment="1">
      <alignment horizontal="center" vertical="center"/>
    </xf>
    <xf numFmtId="165" fontId="1" fillId="2" borderId="46" xfId="1" applyNumberFormat="1" applyFill="1" applyBorder="1" applyAlignment="1">
      <alignment horizontal="center" vertical="center"/>
    </xf>
    <xf numFmtId="165" fontId="40" fillId="2" borderId="26" xfId="1" applyNumberFormat="1" applyFont="1" applyFill="1" applyBorder="1" applyAlignment="1">
      <alignment horizontal="center" vertical="center"/>
    </xf>
    <xf numFmtId="165" fontId="1" fillId="2" borderId="43" xfId="1" applyNumberFormat="1" applyFill="1" applyBorder="1" applyAlignment="1">
      <alignment horizontal="center" vertical="center"/>
    </xf>
    <xf numFmtId="9" fontId="43" fillId="2" borderId="39" xfId="44" applyFont="1" applyFill="1" applyBorder="1" applyAlignment="1" applyProtection="1">
      <alignment horizontal="center" vertical="center"/>
    </xf>
    <xf numFmtId="0" fontId="43" fillId="2" borderId="39" xfId="1" applyFont="1" applyFill="1" applyBorder="1" applyAlignment="1">
      <alignment horizontal="center" vertical="center"/>
    </xf>
    <xf numFmtId="9" fontId="43" fillId="2" borderId="10" xfId="44" applyFont="1" applyFill="1" applyBorder="1" applyAlignment="1" applyProtection="1">
      <alignment horizontal="center" vertical="center"/>
    </xf>
    <xf numFmtId="0" fontId="43" fillId="2" borderId="10" xfId="1" applyFont="1" applyFill="1" applyBorder="1" applyAlignment="1">
      <alignment horizontal="center" vertical="center"/>
    </xf>
    <xf numFmtId="9" fontId="43" fillId="2" borderId="56" xfId="44" applyFont="1" applyFill="1" applyBorder="1" applyAlignment="1" applyProtection="1">
      <alignment horizontal="center" vertical="center"/>
    </xf>
    <xf numFmtId="0" fontId="43" fillId="2" borderId="56" xfId="1" applyFont="1" applyFill="1" applyBorder="1" applyAlignment="1">
      <alignment horizontal="center" vertical="center"/>
    </xf>
    <xf numFmtId="0" fontId="43" fillId="2" borderId="21" xfId="1" applyFont="1" applyFill="1" applyBorder="1" applyAlignment="1">
      <alignment horizontal="center" vertical="center"/>
    </xf>
    <xf numFmtId="0" fontId="43" fillId="2" borderId="26" xfId="1" applyFont="1" applyFill="1" applyBorder="1" applyAlignment="1">
      <alignment horizontal="center" vertical="center"/>
    </xf>
    <xf numFmtId="165" fontId="28" fillId="2" borderId="13" xfId="1" applyNumberFormat="1" applyFont="1" applyFill="1" applyBorder="1" applyAlignment="1" applyProtection="1">
      <alignment horizontal="center" vertical="center"/>
      <protection locked="0"/>
    </xf>
    <xf numFmtId="165" fontId="28" fillId="2" borderId="14" xfId="1" applyNumberFormat="1" applyFont="1" applyFill="1" applyBorder="1" applyAlignment="1" applyProtection="1">
      <alignment horizontal="center" vertical="center"/>
      <protection locked="0"/>
    </xf>
    <xf numFmtId="1" fontId="22" fillId="0" borderId="0" xfId="1" applyNumberFormat="1" applyFont="1" applyAlignment="1" applyProtection="1">
      <alignment vertical="center"/>
      <protection locked="0"/>
    </xf>
    <xf numFmtId="14" fontId="44" fillId="0" borderId="0" xfId="1" applyNumberFormat="1" applyFont="1" applyAlignment="1" applyProtection="1">
      <alignment horizontal="center" vertical="center"/>
      <protection locked="0"/>
    </xf>
    <xf numFmtId="0" fontId="21" fillId="36" borderId="0" xfId="1" applyFont="1" applyFill="1" applyAlignment="1" applyProtection="1">
      <alignment vertical="center"/>
      <protection locked="0"/>
    </xf>
    <xf numFmtId="0" fontId="22" fillId="36" borderId="0" xfId="1" applyFont="1" applyFill="1" applyAlignment="1" applyProtection="1">
      <alignment horizontal="left" vertical="center"/>
      <protection locked="0"/>
    </xf>
    <xf numFmtId="49" fontId="22" fillId="0" borderId="0" xfId="45" applyNumberFormat="1" applyFont="1" applyAlignment="1" applyProtection="1">
      <alignment horizontal="left" vertical="center"/>
      <protection locked="0"/>
    </xf>
    <xf numFmtId="0" fontId="25" fillId="2" borderId="17" xfId="1" applyFont="1" applyFill="1" applyBorder="1" applyAlignment="1" applyProtection="1">
      <alignment vertical="center"/>
      <protection locked="0"/>
    </xf>
    <xf numFmtId="2" fontId="28" fillId="2" borderId="42" xfId="1" applyNumberFormat="1" applyFont="1" applyFill="1" applyBorder="1" applyAlignment="1" applyProtection="1">
      <alignment horizontal="center" vertical="center"/>
      <protection locked="0"/>
    </xf>
    <xf numFmtId="2" fontId="28" fillId="2" borderId="57" xfId="1" applyNumberFormat="1" applyFont="1" applyFill="1" applyBorder="1" applyAlignment="1" applyProtection="1">
      <alignment horizontal="center" vertical="center"/>
      <protection locked="0"/>
    </xf>
    <xf numFmtId="0" fontId="30" fillId="2" borderId="58" xfId="1" applyFont="1" applyFill="1" applyBorder="1" applyAlignment="1" applyProtection="1">
      <alignment horizontal="center" vertical="center"/>
      <protection locked="0"/>
    </xf>
    <xf numFmtId="0" fontId="30" fillId="2" borderId="10" xfId="1" applyFont="1" applyFill="1" applyBorder="1" applyAlignment="1" applyProtection="1">
      <alignment horizontal="center" vertical="center"/>
      <protection locked="0"/>
    </xf>
    <xf numFmtId="0" fontId="29" fillId="2" borderId="0" xfId="1" applyFont="1" applyFill="1" applyAlignment="1" applyProtection="1">
      <alignment horizontal="center" vertical="center"/>
      <protection locked="0"/>
    </xf>
    <xf numFmtId="0" fontId="34" fillId="2" borderId="0" xfId="1" applyFont="1" applyFill="1" applyAlignment="1" applyProtection="1">
      <alignment horizontal="center" vertical="center"/>
      <protection locked="0"/>
    </xf>
    <xf numFmtId="49" fontId="29" fillId="2" borderId="0" xfId="1" applyNumberFormat="1" applyFont="1" applyFill="1" applyAlignment="1" applyProtection="1">
      <alignment horizontal="center" vertical="center"/>
      <protection locked="0"/>
    </xf>
    <xf numFmtId="0" fontId="29" fillId="2" borderId="48" xfId="1" applyFont="1" applyFill="1" applyBorder="1" applyAlignment="1" applyProtection="1">
      <alignment horizontal="center" vertical="center"/>
      <protection locked="0"/>
    </xf>
    <xf numFmtId="49" fontId="30" fillId="2" borderId="0" xfId="1" applyNumberFormat="1" applyFont="1" applyFill="1" applyAlignment="1" applyProtection="1">
      <alignment horizontal="center" vertical="center"/>
      <protection locked="0"/>
    </xf>
    <xf numFmtId="0" fontId="33" fillId="2" borderId="0" xfId="1" applyFont="1" applyFill="1" applyAlignment="1" applyProtection="1">
      <alignment horizontal="center" vertical="center"/>
      <protection locked="0"/>
    </xf>
    <xf numFmtId="0" fontId="33" fillId="2" borderId="48" xfId="1" applyFont="1" applyFill="1" applyBorder="1" applyAlignment="1" applyProtection="1">
      <alignment horizontal="center" vertical="center"/>
      <protection locked="0"/>
    </xf>
    <xf numFmtId="11" fontId="28" fillId="2" borderId="0" xfId="1" applyNumberFormat="1" applyFont="1" applyFill="1" applyAlignment="1" applyProtection="1">
      <alignment horizontal="center" vertical="center"/>
      <protection locked="0"/>
    </xf>
    <xf numFmtId="0" fontId="32" fillId="2" borderId="48" xfId="1" applyFont="1" applyFill="1" applyBorder="1" applyAlignment="1" applyProtection="1">
      <alignment horizontal="center" vertical="center"/>
      <protection locked="0"/>
    </xf>
    <xf numFmtId="165" fontId="29" fillId="2" borderId="0" xfId="1" applyNumberFormat="1" applyFont="1" applyFill="1" applyAlignment="1" applyProtection="1">
      <alignment horizontal="center" vertical="center"/>
      <protection locked="0"/>
    </xf>
    <xf numFmtId="166" fontId="29" fillId="2" borderId="48" xfId="1" applyNumberFormat="1" applyFont="1" applyFill="1" applyBorder="1" applyAlignment="1" applyProtection="1">
      <alignment horizontal="center" vertical="center"/>
      <protection locked="0"/>
    </xf>
    <xf numFmtId="167" fontId="39" fillId="2" borderId="41" xfId="1" applyNumberFormat="1" applyFont="1" applyFill="1" applyBorder="1" applyAlignment="1" applyProtection="1">
      <alignment horizontal="center" vertical="center"/>
      <protection locked="0"/>
    </xf>
    <xf numFmtId="167" fontId="39" fillId="2" borderId="63" xfId="1" applyNumberFormat="1" applyFont="1" applyFill="1" applyBorder="1" applyAlignment="1" applyProtection="1">
      <alignment horizontal="center" vertical="center"/>
      <protection locked="0"/>
    </xf>
    <xf numFmtId="167" fontId="39" fillId="2" borderId="62" xfId="1" applyNumberFormat="1" applyFont="1" applyFill="1" applyBorder="1" applyAlignment="1" applyProtection="1">
      <alignment horizontal="center" vertical="center"/>
      <protection locked="0"/>
    </xf>
    <xf numFmtId="0" fontId="30" fillId="2" borderId="56" xfId="1" applyFont="1" applyFill="1" applyBorder="1" applyAlignment="1" applyProtection="1">
      <alignment horizontal="center" vertical="center"/>
      <protection locked="0"/>
    </xf>
    <xf numFmtId="167" fontId="39" fillId="2" borderId="64" xfId="1" applyNumberFormat="1" applyFont="1" applyFill="1" applyBorder="1" applyAlignment="1" applyProtection="1">
      <alignment horizontal="center" vertical="center"/>
      <protection locked="0"/>
    </xf>
    <xf numFmtId="0" fontId="30" fillId="2" borderId="26" xfId="1" applyFont="1" applyFill="1" applyBorder="1" applyAlignment="1" applyProtection="1">
      <alignment horizontal="center" vertical="center"/>
      <protection locked="0"/>
    </xf>
    <xf numFmtId="0" fontId="38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35" fillId="34" borderId="18" xfId="1" applyFont="1" applyFill="1" applyBorder="1" applyAlignment="1" applyProtection="1">
      <alignment horizontal="center" vertical="center"/>
      <protection locked="0"/>
    </xf>
    <xf numFmtId="0" fontId="35" fillId="34" borderId="19" xfId="1" applyFont="1" applyFill="1" applyBorder="1" applyAlignment="1" applyProtection="1">
      <alignment horizontal="center" vertical="center"/>
      <protection locked="0"/>
    </xf>
    <xf numFmtId="0" fontId="41" fillId="0" borderId="33" xfId="0" applyFont="1" applyBorder="1" applyAlignment="1">
      <alignment horizontal="center"/>
    </xf>
    <xf numFmtId="0" fontId="41" fillId="0" borderId="34" xfId="0" applyFont="1" applyBorder="1" applyAlignment="1">
      <alignment horizontal="center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42" fillId="0" borderId="27" xfId="0" applyFont="1" applyBorder="1" applyAlignment="1" applyProtection="1">
      <alignment horizontal="left" vertical="center" wrapText="1"/>
      <protection locked="0"/>
    </xf>
    <xf numFmtId="0" fontId="42" fillId="0" borderId="29" xfId="0" applyFont="1" applyBorder="1" applyAlignment="1" applyProtection="1">
      <alignment horizontal="left" vertical="center" wrapText="1"/>
      <protection locked="0"/>
    </xf>
    <xf numFmtId="0" fontId="42" fillId="0" borderId="30" xfId="0" applyFont="1" applyBorder="1" applyAlignment="1" applyProtection="1">
      <alignment horizontal="left" vertical="center" wrapText="1"/>
      <protection locked="0"/>
    </xf>
    <xf numFmtId="0" fontId="42" fillId="0" borderId="32" xfId="0" applyFont="1" applyBorder="1" applyAlignment="1" applyProtection="1">
      <alignment horizontal="left" vertical="center" wrapText="1"/>
      <protection locked="0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6" fillId="35" borderId="47" xfId="1" applyFont="1" applyFill="1" applyBorder="1" applyAlignment="1" applyProtection="1">
      <alignment horizontal="left" vertical="center"/>
      <protection locked="0"/>
    </xf>
    <xf numFmtId="0" fontId="26" fillId="35" borderId="16" xfId="1" applyFont="1" applyFill="1" applyBorder="1" applyAlignment="1" applyProtection="1">
      <alignment horizontal="left" vertical="center"/>
      <protection locked="0"/>
    </xf>
    <xf numFmtId="0" fontId="26" fillId="35" borderId="60" xfId="1" applyFont="1" applyFill="1" applyBorder="1" applyAlignment="1" applyProtection="1">
      <alignment horizontal="left" vertical="center"/>
      <protection locked="0"/>
    </xf>
    <xf numFmtId="0" fontId="35" fillId="2" borderId="41" xfId="1" applyFont="1" applyFill="1" applyBorder="1" applyAlignment="1" applyProtection="1">
      <alignment horizontal="center" vertical="center" wrapText="1"/>
      <protection locked="0"/>
    </xf>
    <xf numFmtId="0" fontId="35" fillId="2" borderId="61" xfId="1" applyFont="1" applyFill="1" applyBorder="1" applyAlignment="1" applyProtection="1">
      <alignment horizontal="center" vertical="center" wrapText="1"/>
      <protection locked="0"/>
    </xf>
    <xf numFmtId="0" fontId="35" fillId="2" borderId="10" xfId="1" applyFont="1" applyFill="1" applyBorder="1" applyAlignment="1" applyProtection="1">
      <alignment horizontal="center" vertical="center"/>
      <protection locked="0"/>
    </xf>
    <xf numFmtId="0" fontId="35" fillId="2" borderId="22" xfId="1" applyFont="1" applyFill="1" applyBorder="1" applyAlignment="1" applyProtection="1">
      <alignment horizontal="center" vertical="center"/>
      <protection locked="0"/>
    </xf>
    <xf numFmtId="0" fontId="35" fillId="2" borderId="42" xfId="1" applyFont="1" applyFill="1" applyBorder="1" applyAlignment="1" applyProtection="1">
      <alignment horizontal="center" vertical="center"/>
      <protection locked="0"/>
    </xf>
    <xf numFmtId="0" fontId="35" fillId="2" borderId="57" xfId="1" applyFont="1" applyFill="1" applyBorder="1" applyAlignment="1" applyProtection="1">
      <alignment horizontal="center" vertical="center"/>
      <protection locked="0"/>
    </xf>
    <xf numFmtId="0" fontId="26" fillId="35" borderId="44" xfId="1" applyFont="1" applyFill="1" applyBorder="1" applyAlignment="1" applyProtection="1">
      <alignment horizontal="left" vertical="center"/>
      <protection locked="0"/>
    </xf>
    <xf numFmtId="0" fontId="26" fillId="35" borderId="45" xfId="1" applyFont="1" applyFill="1" applyBorder="1" applyAlignment="1" applyProtection="1">
      <alignment horizontal="left" vertical="center"/>
      <protection locked="0"/>
    </xf>
    <xf numFmtId="0" fontId="26" fillId="35" borderId="59" xfId="1" applyFont="1" applyFill="1" applyBorder="1" applyAlignment="1" applyProtection="1">
      <alignment horizontal="left" vertical="center"/>
      <protection locked="0"/>
    </xf>
    <xf numFmtId="0" fontId="29" fillId="2" borderId="41" xfId="1" applyFont="1" applyFill="1" applyBorder="1" applyAlignment="1" applyProtection="1">
      <alignment horizontal="center" vertical="center"/>
      <protection locked="0"/>
    </xf>
    <xf numFmtId="0" fontId="29" fillId="2" borderId="21" xfId="1" applyFont="1" applyFill="1" applyBorder="1" applyAlignment="1" applyProtection="1">
      <alignment horizontal="center" vertical="center"/>
      <protection locked="0"/>
    </xf>
    <xf numFmtId="0" fontId="29" fillId="2" borderId="46" xfId="1" applyFont="1" applyFill="1" applyBorder="1" applyAlignment="1" applyProtection="1">
      <alignment horizontal="center" vertical="center"/>
      <protection locked="0"/>
    </xf>
    <xf numFmtId="0" fontId="28" fillId="39" borderId="22" xfId="1" applyFont="1" applyFill="1" applyBorder="1" applyAlignment="1" applyProtection="1">
      <alignment horizontal="center" vertical="center"/>
      <protection locked="0"/>
    </xf>
    <xf numFmtId="0" fontId="28" fillId="39" borderId="21" xfId="1" applyFont="1" applyFill="1" applyBorder="1" applyAlignment="1" applyProtection="1">
      <alignment horizontal="center" vertical="center"/>
      <protection locked="0"/>
    </xf>
    <xf numFmtId="0" fontId="29" fillId="2" borderId="50" xfId="1" applyFont="1" applyFill="1" applyBorder="1" applyAlignment="1" applyProtection="1">
      <alignment horizontal="center" vertical="center"/>
      <protection locked="0"/>
    </xf>
    <xf numFmtId="0" fontId="29" fillId="2" borderId="12" xfId="1" applyFont="1" applyFill="1" applyBorder="1" applyAlignment="1" applyProtection="1">
      <alignment horizontal="center" vertical="center"/>
      <protection locked="0"/>
    </xf>
    <xf numFmtId="0" fontId="29" fillId="2" borderId="51" xfId="1" applyFont="1" applyFill="1" applyBorder="1" applyAlignment="1" applyProtection="1">
      <alignment horizontal="center" vertical="center"/>
      <protection locked="0"/>
    </xf>
    <xf numFmtId="0" fontId="28" fillId="38" borderId="22" xfId="1" applyFont="1" applyFill="1" applyBorder="1" applyAlignment="1" applyProtection="1">
      <alignment horizontal="center" vertical="center"/>
      <protection locked="0"/>
    </xf>
    <xf numFmtId="0" fontId="28" fillId="38" borderId="25" xfId="1" applyFont="1" applyFill="1" applyBorder="1" applyAlignment="1" applyProtection="1">
      <alignment horizontal="center" vertical="center"/>
      <protection locked="0"/>
    </xf>
    <xf numFmtId="0" fontId="28" fillId="37" borderId="22" xfId="1" applyFont="1" applyFill="1" applyBorder="1" applyAlignment="1" applyProtection="1">
      <alignment horizontal="center" vertical="center"/>
      <protection locked="0"/>
    </xf>
    <xf numFmtId="0" fontId="28" fillId="37" borderId="21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1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center" vertical="center" wrapText="1"/>
      <protection locked="0"/>
    </xf>
  </cellXfs>
  <cellStyles count="46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23000000}"/>
    <cellStyle name="Normal 2 2" xfId="43" xr:uid="{00000000-0005-0000-0000-000024000000}"/>
    <cellStyle name="Normal 2 3" xfId="45" xr:uid="{00000000-0005-0000-0000-000025000000}"/>
    <cellStyle name="Nota" xfId="16" builtinId="10" customBuiltin="1"/>
    <cellStyle name="Porcentagem" xfId="44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5"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6-4438-BBEA-D78A755FA34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016-4438-BBEA-D78A755FA34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016-4438-BBEA-D78A755F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9-40D9-875D-F624A4B75BE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8F9-40D9-875D-F624A4B75BE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8F9-40D9-875D-F624A4B75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A-41DB-9D60-9CEA5272226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68A-41DB-9D60-9CEA5272226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68A-41DB-9D60-9CEA5272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C-4CF6-8C68-AF6E4938532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B8C-4CF6-8C68-AF6E4938532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B8C-4CF6-8C68-AF6E4938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'5'!$H$28:$H$37</c:f>
              <c:numCache>
                <c:formatCode>0.0000</c:formatCode>
                <c:ptCount val="10"/>
                <c:pt idx="0">
                  <c:v>2.843</c:v>
                </c:pt>
                <c:pt idx="1">
                  <c:v>1.657</c:v>
                </c:pt>
                <c:pt idx="2">
                  <c:v>0.81699999999999995</c:v>
                </c:pt>
                <c:pt idx="3">
                  <c:v>0.7</c:v>
                </c:pt>
                <c:pt idx="4">
                  <c:v>0.69299999999999995</c:v>
                </c:pt>
                <c:pt idx="5">
                  <c:v>2.843</c:v>
                </c:pt>
                <c:pt idx="6">
                  <c:v>1.657</c:v>
                </c:pt>
                <c:pt idx="7">
                  <c:v>0.81699999999999995</c:v>
                </c:pt>
                <c:pt idx="8">
                  <c:v>0.7</c:v>
                </c:pt>
                <c:pt idx="9">
                  <c:v>0.69299999999999995</c:v>
                </c:pt>
              </c:numCache>
            </c:numRef>
          </c:xVal>
          <c:yVal>
            <c:numRef>
              <c:f>'5'!$I$28:$I$37</c:f>
              <c:numCache>
                <c:formatCode>0.0000</c:formatCode>
                <c:ptCount val="10"/>
                <c:pt idx="0">
                  <c:v>1.0008333</c:v>
                </c:pt>
                <c:pt idx="1">
                  <c:v>1.0006733000000001</c:v>
                </c:pt>
                <c:pt idx="2">
                  <c:v>1.0004999999999999</c:v>
                </c:pt>
                <c:pt idx="3">
                  <c:v>1.00041</c:v>
                </c:pt>
                <c:pt idx="4">
                  <c:v>1.0004033000000001</c:v>
                </c:pt>
                <c:pt idx="5">
                  <c:v>1.0008333</c:v>
                </c:pt>
                <c:pt idx="6">
                  <c:v>1.0006733000000001</c:v>
                </c:pt>
                <c:pt idx="7">
                  <c:v>1.0004999999999999</c:v>
                </c:pt>
                <c:pt idx="8">
                  <c:v>1.00041</c:v>
                </c:pt>
                <c:pt idx="9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84-47B6-A269-4E75D1A37E66}"/>
            </c:ext>
          </c:extLst>
        </c:ser>
        <c:ser>
          <c:idx val="1"/>
          <c:order val="1"/>
          <c:tx>
            <c:strRef>
              <c:f>'5'!$M$7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84-47B6-A269-4E75D1A37E66}"/>
            </c:ext>
          </c:extLst>
        </c:ser>
        <c:ser>
          <c:idx val="2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84-47B6-A269-4E75D1A37E66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84-47B6-A269-4E75D1A3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'5'!$M$6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2-4944-B4DA-AD0E96727C04}"/>
            </c:ext>
          </c:extLst>
        </c:ser>
        <c:ser>
          <c:idx val="0"/>
          <c:order val="1"/>
          <c:tx>
            <c:strRef>
              <c:f>'5'!$M$27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'5'!$M$28:$M$42</c:f>
              <c:numCache>
                <c:formatCode>General</c:formatCode>
                <c:ptCount val="15"/>
                <c:pt idx="0">
                  <c:v>2.843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'5'!$N$28:$N$42</c:f>
              <c:numCache>
                <c:formatCode>General</c:formatCode>
                <c:ptCount val="15"/>
                <c:pt idx="0">
                  <c:v>1.0008333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2-4944-B4DA-AD0E96727C04}"/>
            </c:ext>
          </c:extLst>
        </c:ser>
        <c:ser>
          <c:idx val="4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2-4944-B4DA-AD0E96727C04}"/>
            </c:ext>
          </c:extLst>
        </c:ser>
        <c:ser>
          <c:idx val="3"/>
          <c:order val="3"/>
          <c:tx>
            <c:strRef>
              <c:f>'5'!$O$27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'5'!$O$28:$O$42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1.0006733000000001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2-4944-B4DA-AD0E96727C04}"/>
            </c:ext>
          </c:extLst>
        </c:ser>
        <c:ser>
          <c:idx val="1"/>
          <c:order val="4"/>
          <c:tx>
            <c:strRef>
              <c:f>'5'!$M$12:$M$13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'5'!$Q$12:$U$12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'5'!$Q$13:$U$13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D2-4944-B4DA-AD0E96727C04}"/>
            </c:ext>
          </c:extLst>
        </c:ser>
        <c:ser>
          <c:idx val="5"/>
          <c:order val="5"/>
          <c:tx>
            <c:strRef>
              <c:f>'5'!$Q$27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'5'!$Q$28:$Q$42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0.81699999999999995</c:v>
                </c:pt>
                <c:pt idx="3">
                  <c:v>0.7</c:v>
                </c:pt>
                <c:pt idx="4" formatCode="0.0000">
                  <c:v>0.69299999999999995</c:v>
                </c:pt>
                <c:pt idx="5">
                  <c:v>0</c:v>
                </c:pt>
                <c:pt idx="6">
                  <c:v>0</c:v>
                </c:pt>
                <c:pt idx="7">
                  <c:v>0.81699999999999995</c:v>
                </c:pt>
                <c:pt idx="8">
                  <c:v>0.7</c:v>
                </c:pt>
                <c:pt idx="9" formatCode="0.0000">
                  <c:v>0.69299999999999995</c:v>
                </c:pt>
                <c:pt idx="10">
                  <c:v>0</c:v>
                </c:pt>
                <c:pt idx="11">
                  <c:v>0</c:v>
                </c:pt>
                <c:pt idx="12">
                  <c:v>0.81699999999999995</c:v>
                </c:pt>
                <c:pt idx="13">
                  <c:v>0.7</c:v>
                </c:pt>
                <c:pt idx="14" formatCode="0.0000">
                  <c:v>0.69299999999999995</c:v>
                </c:pt>
              </c:numCache>
            </c:numRef>
          </c:xVal>
          <c:yVal>
            <c:numRef>
              <c:f>'5'!$R$28:$R$42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1.0004999999999999</c:v>
                </c:pt>
                <c:pt idx="3">
                  <c:v>1.00041</c:v>
                </c:pt>
                <c:pt idx="4" formatCode="0.0000">
                  <c:v>1.0004033000000001</c:v>
                </c:pt>
                <c:pt idx="5">
                  <c:v>0</c:v>
                </c:pt>
                <c:pt idx="6">
                  <c:v>0</c:v>
                </c:pt>
                <c:pt idx="7">
                  <c:v>1.0004999999999999</c:v>
                </c:pt>
                <c:pt idx="8">
                  <c:v>1.00041</c:v>
                </c:pt>
                <c:pt idx="9" formatCode="0.0000">
                  <c:v>1.0004033000000001</c:v>
                </c:pt>
                <c:pt idx="10">
                  <c:v>0</c:v>
                </c:pt>
                <c:pt idx="11">
                  <c:v>0</c:v>
                </c:pt>
                <c:pt idx="12">
                  <c:v>1.0004999999999999</c:v>
                </c:pt>
                <c:pt idx="13">
                  <c:v>1.00041</c:v>
                </c:pt>
                <c:pt idx="14" formatCode="0.0000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D2-4944-B4DA-AD0E96727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E-43BC-B725-BD7F04CADAB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AAE-43BC-B725-BD7F04CADAB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AAE-43BC-B725-BD7F04CA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6-4785-9E08-2194A805DC7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EB6-4785-9E08-2194A805DC7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EB6-4785-9E08-2194A805D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'7'!$H$28:$H$37</c:f>
              <c:numCache>
                <c:formatCode>0.0000</c:formatCode>
                <c:ptCount val="10"/>
                <c:pt idx="0">
                  <c:v>2.843</c:v>
                </c:pt>
                <c:pt idx="1">
                  <c:v>1.657</c:v>
                </c:pt>
                <c:pt idx="2">
                  <c:v>0.81699999999999995</c:v>
                </c:pt>
                <c:pt idx="3">
                  <c:v>0.7</c:v>
                </c:pt>
                <c:pt idx="4">
                  <c:v>0.69299999999999995</c:v>
                </c:pt>
                <c:pt idx="5">
                  <c:v>2.843</c:v>
                </c:pt>
                <c:pt idx="6">
                  <c:v>1.657</c:v>
                </c:pt>
                <c:pt idx="7">
                  <c:v>0.81699999999999995</c:v>
                </c:pt>
                <c:pt idx="8">
                  <c:v>0.7</c:v>
                </c:pt>
                <c:pt idx="9">
                  <c:v>0.69299999999999995</c:v>
                </c:pt>
              </c:numCache>
            </c:numRef>
          </c:xVal>
          <c:yVal>
            <c:numRef>
              <c:f>'7'!$I$28:$I$37</c:f>
              <c:numCache>
                <c:formatCode>0.0000</c:formatCode>
                <c:ptCount val="10"/>
                <c:pt idx="0">
                  <c:v>1.0008333</c:v>
                </c:pt>
                <c:pt idx="1">
                  <c:v>1.0006733000000001</c:v>
                </c:pt>
                <c:pt idx="2">
                  <c:v>1.0004999999999999</c:v>
                </c:pt>
                <c:pt idx="3">
                  <c:v>1.00041</c:v>
                </c:pt>
                <c:pt idx="4">
                  <c:v>1.0004033000000001</c:v>
                </c:pt>
                <c:pt idx="5">
                  <c:v>1.0008333</c:v>
                </c:pt>
                <c:pt idx="6">
                  <c:v>1.0006733000000001</c:v>
                </c:pt>
                <c:pt idx="7">
                  <c:v>1.0004999999999999</c:v>
                </c:pt>
                <c:pt idx="8">
                  <c:v>1.00041</c:v>
                </c:pt>
                <c:pt idx="9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B-49E0-AC2C-325F67377C05}"/>
            </c:ext>
          </c:extLst>
        </c:ser>
        <c:ser>
          <c:idx val="1"/>
          <c:order val="1"/>
          <c:tx>
            <c:strRef>
              <c:f>'7'!$M$7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BB-49E0-AC2C-325F67377C05}"/>
            </c:ext>
          </c:extLst>
        </c:ser>
        <c:ser>
          <c:idx val="2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B-49E0-AC2C-325F67377C0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BB-49E0-AC2C-325F67377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'7'!$M$6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B-4083-8570-22703EC05ACE}"/>
            </c:ext>
          </c:extLst>
        </c:ser>
        <c:ser>
          <c:idx val="0"/>
          <c:order val="1"/>
          <c:tx>
            <c:strRef>
              <c:f>'7'!$M$27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'7'!$M$28:$M$42</c:f>
              <c:numCache>
                <c:formatCode>General</c:formatCode>
                <c:ptCount val="15"/>
                <c:pt idx="0">
                  <c:v>2.843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'7'!$N$28:$N$42</c:f>
              <c:numCache>
                <c:formatCode>General</c:formatCode>
                <c:ptCount val="15"/>
                <c:pt idx="0">
                  <c:v>1.0008333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B-4083-8570-22703EC05ACE}"/>
            </c:ext>
          </c:extLst>
        </c:ser>
        <c:ser>
          <c:idx val="4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B-4083-8570-22703EC05ACE}"/>
            </c:ext>
          </c:extLst>
        </c:ser>
        <c:ser>
          <c:idx val="3"/>
          <c:order val="3"/>
          <c:tx>
            <c:strRef>
              <c:f>'7'!$O$27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'7'!$O$28:$O$42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1.0006733000000001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FB-4083-8570-22703EC05ACE}"/>
            </c:ext>
          </c:extLst>
        </c:ser>
        <c:ser>
          <c:idx val="1"/>
          <c:order val="4"/>
          <c:tx>
            <c:strRef>
              <c:f>'7'!$M$12:$M$13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'7'!$Q$12:$U$12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'7'!$Q$13:$U$13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FB-4083-8570-22703EC05ACE}"/>
            </c:ext>
          </c:extLst>
        </c:ser>
        <c:ser>
          <c:idx val="5"/>
          <c:order val="5"/>
          <c:tx>
            <c:strRef>
              <c:f>'7'!$Q$27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'7'!$Q$28:$Q$42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0.81699999999999995</c:v>
                </c:pt>
                <c:pt idx="3">
                  <c:v>0.7</c:v>
                </c:pt>
                <c:pt idx="4" formatCode="0.0000">
                  <c:v>0.69299999999999995</c:v>
                </c:pt>
                <c:pt idx="5">
                  <c:v>0</c:v>
                </c:pt>
                <c:pt idx="6">
                  <c:v>0</c:v>
                </c:pt>
                <c:pt idx="7">
                  <c:v>0.81699999999999995</c:v>
                </c:pt>
                <c:pt idx="8">
                  <c:v>0.7</c:v>
                </c:pt>
                <c:pt idx="9" formatCode="0.0000">
                  <c:v>0.69299999999999995</c:v>
                </c:pt>
                <c:pt idx="10">
                  <c:v>0</c:v>
                </c:pt>
                <c:pt idx="11">
                  <c:v>0</c:v>
                </c:pt>
                <c:pt idx="12">
                  <c:v>0.81699999999999995</c:v>
                </c:pt>
                <c:pt idx="13">
                  <c:v>0.7</c:v>
                </c:pt>
                <c:pt idx="14" formatCode="0.0000">
                  <c:v>0.69299999999999995</c:v>
                </c:pt>
              </c:numCache>
            </c:numRef>
          </c:xVal>
          <c:yVal>
            <c:numRef>
              <c:f>'7'!$R$28:$R$42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1.0004999999999999</c:v>
                </c:pt>
                <c:pt idx="3">
                  <c:v>1.00041</c:v>
                </c:pt>
                <c:pt idx="4" formatCode="0.0000">
                  <c:v>1.0004033000000001</c:v>
                </c:pt>
                <c:pt idx="5">
                  <c:v>0</c:v>
                </c:pt>
                <c:pt idx="6">
                  <c:v>0</c:v>
                </c:pt>
                <c:pt idx="7">
                  <c:v>1.0004999999999999</c:v>
                </c:pt>
                <c:pt idx="8">
                  <c:v>1.00041</c:v>
                </c:pt>
                <c:pt idx="9" formatCode="0.0000">
                  <c:v>1.0004033000000001</c:v>
                </c:pt>
                <c:pt idx="10">
                  <c:v>0</c:v>
                </c:pt>
                <c:pt idx="11">
                  <c:v>0</c:v>
                </c:pt>
                <c:pt idx="12">
                  <c:v>1.0004999999999999</c:v>
                </c:pt>
                <c:pt idx="13">
                  <c:v>1.00041</c:v>
                </c:pt>
                <c:pt idx="14" formatCode="0.0000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FB-4083-8570-22703EC05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E-4962-A8AE-66ED75E0E09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93E-4962-A8AE-66ED75E0E09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93E-4962-A8AE-66ED75E0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3-4374-A51C-621A4EB38FC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AA3-4374-A51C-621A4EB38FC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AA3-4374-A51C-621A4EB38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'8'!$H$28:$H$37</c:f>
              <c:numCache>
                <c:formatCode>0.0000</c:formatCode>
                <c:ptCount val="10"/>
                <c:pt idx="0">
                  <c:v>2.843</c:v>
                </c:pt>
                <c:pt idx="1">
                  <c:v>1.657</c:v>
                </c:pt>
                <c:pt idx="2">
                  <c:v>0.81699999999999995</c:v>
                </c:pt>
                <c:pt idx="3">
                  <c:v>0.7</c:v>
                </c:pt>
                <c:pt idx="4">
                  <c:v>0.69299999999999995</c:v>
                </c:pt>
                <c:pt idx="5">
                  <c:v>2.843</c:v>
                </c:pt>
                <c:pt idx="6">
                  <c:v>1.657</c:v>
                </c:pt>
                <c:pt idx="7">
                  <c:v>0.81699999999999995</c:v>
                </c:pt>
                <c:pt idx="8">
                  <c:v>0.7</c:v>
                </c:pt>
                <c:pt idx="9">
                  <c:v>0.69299999999999995</c:v>
                </c:pt>
              </c:numCache>
            </c:numRef>
          </c:xVal>
          <c:yVal>
            <c:numRef>
              <c:f>'8'!$I$28:$I$37</c:f>
              <c:numCache>
                <c:formatCode>0.0000</c:formatCode>
                <c:ptCount val="10"/>
                <c:pt idx="0">
                  <c:v>1.0008333</c:v>
                </c:pt>
                <c:pt idx="1">
                  <c:v>1.0006733000000001</c:v>
                </c:pt>
                <c:pt idx="2">
                  <c:v>1.0004999999999999</c:v>
                </c:pt>
                <c:pt idx="3">
                  <c:v>1.00041</c:v>
                </c:pt>
                <c:pt idx="4">
                  <c:v>1.0004033000000001</c:v>
                </c:pt>
                <c:pt idx="5">
                  <c:v>1.0008333</c:v>
                </c:pt>
                <c:pt idx="6">
                  <c:v>1.0006733000000001</c:v>
                </c:pt>
                <c:pt idx="7">
                  <c:v>1.0004999999999999</c:v>
                </c:pt>
                <c:pt idx="8">
                  <c:v>1.00041</c:v>
                </c:pt>
                <c:pt idx="9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00-4DE8-9F9C-761CFE89A08D}"/>
            </c:ext>
          </c:extLst>
        </c:ser>
        <c:ser>
          <c:idx val="1"/>
          <c:order val="1"/>
          <c:tx>
            <c:strRef>
              <c:f>'8'!$M$7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00-4DE8-9F9C-761CFE89A08D}"/>
            </c:ext>
          </c:extLst>
        </c:ser>
        <c:ser>
          <c:idx val="2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00-4DE8-9F9C-761CFE89A08D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0-4DE8-9F9C-761CFE89A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'8'!$M$6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9-4D91-953E-E99609FE1687}"/>
            </c:ext>
          </c:extLst>
        </c:ser>
        <c:ser>
          <c:idx val="0"/>
          <c:order val="1"/>
          <c:tx>
            <c:strRef>
              <c:f>'8'!$M$27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'8'!$M$28:$M$42</c:f>
              <c:numCache>
                <c:formatCode>General</c:formatCode>
                <c:ptCount val="15"/>
                <c:pt idx="0">
                  <c:v>2.843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'8'!$N$28:$N$42</c:f>
              <c:numCache>
                <c:formatCode>General</c:formatCode>
                <c:ptCount val="15"/>
                <c:pt idx="0">
                  <c:v>1.0008333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69-4D91-953E-E99609FE1687}"/>
            </c:ext>
          </c:extLst>
        </c:ser>
        <c:ser>
          <c:idx val="4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69-4D91-953E-E99609FE1687}"/>
            </c:ext>
          </c:extLst>
        </c:ser>
        <c:ser>
          <c:idx val="3"/>
          <c:order val="3"/>
          <c:tx>
            <c:strRef>
              <c:f>'8'!$O$27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'8'!$O$28:$O$42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1.0006733000000001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69-4D91-953E-E99609FE1687}"/>
            </c:ext>
          </c:extLst>
        </c:ser>
        <c:ser>
          <c:idx val="1"/>
          <c:order val="4"/>
          <c:tx>
            <c:strRef>
              <c:f>'8'!$M$12:$M$13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'8'!$Q$12:$U$12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'8'!$Q$13:$U$13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69-4D91-953E-E99609FE1687}"/>
            </c:ext>
          </c:extLst>
        </c:ser>
        <c:ser>
          <c:idx val="5"/>
          <c:order val="5"/>
          <c:tx>
            <c:strRef>
              <c:f>'8'!$Q$27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'8'!$Q$28:$Q$42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0.81699999999999995</c:v>
                </c:pt>
                <c:pt idx="3">
                  <c:v>0.7</c:v>
                </c:pt>
                <c:pt idx="4" formatCode="0.0000">
                  <c:v>0.69299999999999995</c:v>
                </c:pt>
                <c:pt idx="5">
                  <c:v>0</c:v>
                </c:pt>
                <c:pt idx="6">
                  <c:v>0</c:v>
                </c:pt>
                <c:pt idx="7">
                  <c:v>0.81699999999999995</c:v>
                </c:pt>
                <c:pt idx="8">
                  <c:v>0.7</c:v>
                </c:pt>
                <c:pt idx="9" formatCode="0.0000">
                  <c:v>0.69299999999999995</c:v>
                </c:pt>
                <c:pt idx="10">
                  <c:v>0</c:v>
                </c:pt>
                <c:pt idx="11">
                  <c:v>0</c:v>
                </c:pt>
                <c:pt idx="12">
                  <c:v>0.81699999999999995</c:v>
                </c:pt>
                <c:pt idx="13">
                  <c:v>0.7</c:v>
                </c:pt>
                <c:pt idx="14" formatCode="0.0000">
                  <c:v>0.69299999999999995</c:v>
                </c:pt>
              </c:numCache>
            </c:numRef>
          </c:xVal>
          <c:yVal>
            <c:numRef>
              <c:f>'8'!$R$28:$R$42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1.0004999999999999</c:v>
                </c:pt>
                <c:pt idx="3">
                  <c:v>1.00041</c:v>
                </c:pt>
                <c:pt idx="4" formatCode="0.0000">
                  <c:v>1.0004033000000001</c:v>
                </c:pt>
                <c:pt idx="5">
                  <c:v>0</c:v>
                </c:pt>
                <c:pt idx="6">
                  <c:v>0</c:v>
                </c:pt>
                <c:pt idx="7">
                  <c:v>1.0004999999999999</c:v>
                </c:pt>
                <c:pt idx="8">
                  <c:v>1.00041</c:v>
                </c:pt>
                <c:pt idx="9" formatCode="0.0000">
                  <c:v>1.0004033000000001</c:v>
                </c:pt>
                <c:pt idx="10">
                  <c:v>0</c:v>
                </c:pt>
                <c:pt idx="11">
                  <c:v>0</c:v>
                </c:pt>
                <c:pt idx="12">
                  <c:v>1.0004999999999999</c:v>
                </c:pt>
                <c:pt idx="13">
                  <c:v>1.00041</c:v>
                </c:pt>
                <c:pt idx="14" formatCode="0.0000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69-4D91-953E-E99609FE1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D-4DE0-A664-66229802068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1ED-4DE0-A664-66229802068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1ED-4DE0-A664-662298020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8-4E73-B150-D744858CD20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D78-4E73-B150-D744858CD20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D78-4E73-B150-D744858CD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'9'!$H$28:$H$37</c:f>
              <c:numCache>
                <c:formatCode>0.0000</c:formatCode>
                <c:ptCount val="10"/>
                <c:pt idx="0">
                  <c:v>2.843</c:v>
                </c:pt>
                <c:pt idx="1">
                  <c:v>1.657</c:v>
                </c:pt>
                <c:pt idx="2">
                  <c:v>0.81699999999999995</c:v>
                </c:pt>
                <c:pt idx="3">
                  <c:v>0.7</c:v>
                </c:pt>
                <c:pt idx="4">
                  <c:v>0.69299999999999995</c:v>
                </c:pt>
                <c:pt idx="5">
                  <c:v>2.843</c:v>
                </c:pt>
                <c:pt idx="6">
                  <c:v>1.657</c:v>
                </c:pt>
                <c:pt idx="7">
                  <c:v>0.81699999999999995</c:v>
                </c:pt>
                <c:pt idx="8">
                  <c:v>0.7</c:v>
                </c:pt>
                <c:pt idx="9">
                  <c:v>0.69299999999999995</c:v>
                </c:pt>
              </c:numCache>
            </c:numRef>
          </c:xVal>
          <c:yVal>
            <c:numRef>
              <c:f>'9'!$I$28:$I$37</c:f>
              <c:numCache>
                <c:formatCode>0.0000</c:formatCode>
                <c:ptCount val="10"/>
                <c:pt idx="0">
                  <c:v>1.0008333</c:v>
                </c:pt>
                <c:pt idx="1">
                  <c:v>1.0006733000000001</c:v>
                </c:pt>
                <c:pt idx="2">
                  <c:v>1.0004999999999999</c:v>
                </c:pt>
                <c:pt idx="3">
                  <c:v>1.00041</c:v>
                </c:pt>
                <c:pt idx="4">
                  <c:v>1.0004033000000001</c:v>
                </c:pt>
                <c:pt idx="5">
                  <c:v>1.0008333</c:v>
                </c:pt>
                <c:pt idx="6">
                  <c:v>1.0006733000000001</c:v>
                </c:pt>
                <c:pt idx="7">
                  <c:v>1.0004999999999999</c:v>
                </c:pt>
                <c:pt idx="8">
                  <c:v>1.00041</c:v>
                </c:pt>
                <c:pt idx="9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5-4C35-9A0B-344D8B463A13}"/>
            </c:ext>
          </c:extLst>
        </c:ser>
        <c:ser>
          <c:idx val="1"/>
          <c:order val="1"/>
          <c:tx>
            <c:strRef>
              <c:f>'9'!$M$7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5-4C35-9A0B-344D8B463A13}"/>
            </c:ext>
          </c:extLst>
        </c:ser>
        <c:ser>
          <c:idx val="2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A5-4C35-9A0B-344D8B463A13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A5-4C35-9A0B-344D8B463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'9'!$M$6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0-4AB8-A965-751201500375}"/>
            </c:ext>
          </c:extLst>
        </c:ser>
        <c:ser>
          <c:idx val="0"/>
          <c:order val="1"/>
          <c:tx>
            <c:strRef>
              <c:f>'9'!$M$27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'9'!$M$28:$M$42</c:f>
              <c:numCache>
                <c:formatCode>General</c:formatCode>
                <c:ptCount val="15"/>
                <c:pt idx="0">
                  <c:v>2.843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'9'!$N$28:$N$42</c:f>
              <c:numCache>
                <c:formatCode>General</c:formatCode>
                <c:ptCount val="15"/>
                <c:pt idx="0">
                  <c:v>1.0008333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0-4AB8-A965-751201500375}"/>
            </c:ext>
          </c:extLst>
        </c:ser>
        <c:ser>
          <c:idx val="4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00-4AB8-A965-751201500375}"/>
            </c:ext>
          </c:extLst>
        </c:ser>
        <c:ser>
          <c:idx val="3"/>
          <c:order val="3"/>
          <c:tx>
            <c:strRef>
              <c:f>'9'!$O$27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'9'!$O$28:$O$42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1.0006733000000001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00-4AB8-A965-751201500375}"/>
            </c:ext>
          </c:extLst>
        </c:ser>
        <c:ser>
          <c:idx val="1"/>
          <c:order val="4"/>
          <c:tx>
            <c:strRef>
              <c:f>'9'!$M$12:$M$13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'9'!$Q$12:$U$12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'9'!$Q$13:$U$13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00-4AB8-A965-751201500375}"/>
            </c:ext>
          </c:extLst>
        </c:ser>
        <c:ser>
          <c:idx val="5"/>
          <c:order val="5"/>
          <c:tx>
            <c:strRef>
              <c:f>'9'!$Q$27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'9'!$Q$28:$Q$42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0.81699999999999995</c:v>
                </c:pt>
                <c:pt idx="3">
                  <c:v>0.7</c:v>
                </c:pt>
                <c:pt idx="4" formatCode="0.0000">
                  <c:v>0.69299999999999995</c:v>
                </c:pt>
                <c:pt idx="5">
                  <c:v>0</c:v>
                </c:pt>
                <c:pt idx="6">
                  <c:v>0</c:v>
                </c:pt>
                <c:pt idx="7">
                  <c:v>0.81699999999999995</c:v>
                </c:pt>
                <c:pt idx="8">
                  <c:v>0.7</c:v>
                </c:pt>
                <c:pt idx="9" formatCode="0.0000">
                  <c:v>0.69299999999999995</c:v>
                </c:pt>
                <c:pt idx="10">
                  <c:v>0</c:v>
                </c:pt>
                <c:pt idx="11">
                  <c:v>0</c:v>
                </c:pt>
                <c:pt idx="12">
                  <c:v>0.81699999999999995</c:v>
                </c:pt>
                <c:pt idx="13">
                  <c:v>0.7</c:v>
                </c:pt>
                <c:pt idx="14" formatCode="0.0000">
                  <c:v>0.69299999999999995</c:v>
                </c:pt>
              </c:numCache>
            </c:numRef>
          </c:xVal>
          <c:yVal>
            <c:numRef>
              <c:f>'9'!$R$28:$R$42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1.0004999999999999</c:v>
                </c:pt>
                <c:pt idx="3">
                  <c:v>1.00041</c:v>
                </c:pt>
                <c:pt idx="4" formatCode="0.0000">
                  <c:v>1.0004033000000001</c:v>
                </c:pt>
                <c:pt idx="5">
                  <c:v>0</c:v>
                </c:pt>
                <c:pt idx="6">
                  <c:v>0</c:v>
                </c:pt>
                <c:pt idx="7">
                  <c:v>1.0004999999999999</c:v>
                </c:pt>
                <c:pt idx="8">
                  <c:v>1.00041</c:v>
                </c:pt>
                <c:pt idx="9" formatCode="0.0000">
                  <c:v>1.0004033000000001</c:v>
                </c:pt>
                <c:pt idx="10">
                  <c:v>0</c:v>
                </c:pt>
                <c:pt idx="11">
                  <c:v>0</c:v>
                </c:pt>
                <c:pt idx="12">
                  <c:v>1.0004999999999999</c:v>
                </c:pt>
                <c:pt idx="13">
                  <c:v>1.00041</c:v>
                </c:pt>
                <c:pt idx="14" formatCode="0.0000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00-4AB8-A965-751201500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9-43F9-BCB7-A822788B7559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6A9-43F9-BCB7-A822788B7559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6A9-43F9-BCB7-A822788B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7-4E3F-B7AC-C3E3DF1CAF5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B87-4E3F-B7AC-C3E3DF1CAF5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B87-4E3F-B7AC-C3E3DF1C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'11'!$H$28:$H$37</c:f>
              <c:numCache>
                <c:formatCode>0.0000</c:formatCode>
                <c:ptCount val="10"/>
                <c:pt idx="0">
                  <c:v>2.843</c:v>
                </c:pt>
                <c:pt idx="1">
                  <c:v>1.657</c:v>
                </c:pt>
                <c:pt idx="2">
                  <c:v>0.81699999999999995</c:v>
                </c:pt>
                <c:pt idx="3">
                  <c:v>0.7</c:v>
                </c:pt>
                <c:pt idx="4">
                  <c:v>0.69299999999999995</c:v>
                </c:pt>
                <c:pt idx="5">
                  <c:v>2.843</c:v>
                </c:pt>
                <c:pt idx="6">
                  <c:v>1.657</c:v>
                </c:pt>
                <c:pt idx="7">
                  <c:v>0.81699999999999995</c:v>
                </c:pt>
                <c:pt idx="8">
                  <c:v>0.7</c:v>
                </c:pt>
                <c:pt idx="9">
                  <c:v>0.69299999999999995</c:v>
                </c:pt>
              </c:numCache>
            </c:numRef>
          </c:xVal>
          <c:yVal>
            <c:numRef>
              <c:f>'11'!$I$28:$I$37</c:f>
              <c:numCache>
                <c:formatCode>0.0000</c:formatCode>
                <c:ptCount val="10"/>
                <c:pt idx="0">
                  <c:v>1.0008333</c:v>
                </c:pt>
                <c:pt idx="1">
                  <c:v>1.0006733000000001</c:v>
                </c:pt>
                <c:pt idx="2">
                  <c:v>1.0004999999999999</c:v>
                </c:pt>
                <c:pt idx="3">
                  <c:v>1.00041</c:v>
                </c:pt>
                <c:pt idx="4">
                  <c:v>1.0004033000000001</c:v>
                </c:pt>
                <c:pt idx="5">
                  <c:v>1.0008333</c:v>
                </c:pt>
                <c:pt idx="6">
                  <c:v>1.0006733000000001</c:v>
                </c:pt>
                <c:pt idx="7">
                  <c:v>1.0004999999999999</c:v>
                </c:pt>
                <c:pt idx="8">
                  <c:v>1.00041</c:v>
                </c:pt>
                <c:pt idx="9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C-4F4E-B7B8-D6FAC0658DAB}"/>
            </c:ext>
          </c:extLst>
        </c:ser>
        <c:ser>
          <c:idx val="1"/>
          <c:order val="1"/>
          <c:tx>
            <c:strRef>
              <c:f>'11'!$M$7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C-4F4E-B7B8-D6FAC0658DAB}"/>
            </c:ext>
          </c:extLst>
        </c:ser>
        <c:ser>
          <c:idx val="2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BC-4F4E-B7B8-D6FAC0658DAB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BC-4F4E-B7B8-D6FAC0658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'11'!$M$6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1-43A4-955E-426EC43FDF69}"/>
            </c:ext>
          </c:extLst>
        </c:ser>
        <c:ser>
          <c:idx val="0"/>
          <c:order val="1"/>
          <c:tx>
            <c:strRef>
              <c:f>'11'!$M$27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'11'!$M$28:$M$42</c:f>
              <c:numCache>
                <c:formatCode>General</c:formatCode>
                <c:ptCount val="15"/>
                <c:pt idx="0">
                  <c:v>2.843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'11'!$N$28:$N$42</c:f>
              <c:numCache>
                <c:formatCode>General</c:formatCode>
                <c:ptCount val="15"/>
                <c:pt idx="0">
                  <c:v>1.0008333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1-43A4-955E-426EC43FDF69}"/>
            </c:ext>
          </c:extLst>
        </c:ser>
        <c:ser>
          <c:idx val="4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E1-43A4-955E-426EC43FDF69}"/>
            </c:ext>
          </c:extLst>
        </c:ser>
        <c:ser>
          <c:idx val="3"/>
          <c:order val="3"/>
          <c:tx>
            <c:strRef>
              <c:f>'11'!$O$27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1.0006733000000001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E1-43A4-955E-426EC43FDF69}"/>
            </c:ext>
          </c:extLst>
        </c:ser>
        <c:ser>
          <c:idx val="1"/>
          <c:order val="4"/>
          <c:tx>
            <c:strRef>
              <c:f>'11'!$M$12:$M$13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'11'!$Q$12:$U$12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'11'!$Q$13:$U$13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E1-43A4-955E-426EC43FDF69}"/>
            </c:ext>
          </c:extLst>
        </c:ser>
        <c:ser>
          <c:idx val="5"/>
          <c:order val="5"/>
          <c:tx>
            <c:strRef>
              <c:f>'11'!$Q$27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0.81699999999999995</c:v>
                </c:pt>
                <c:pt idx="3">
                  <c:v>0.7</c:v>
                </c:pt>
                <c:pt idx="4" formatCode="0.0000">
                  <c:v>0.69299999999999995</c:v>
                </c:pt>
                <c:pt idx="5">
                  <c:v>0</c:v>
                </c:pt>
                <c:pt idx="6">
                  <c:v>0</c:v>
                </c:pt>
                <c:pt idx="7">
                  <c:v>0.81699999999999995</c:v>
                </c:pt>
                <c:pt idx="8">
                  <c:v>0.7</c:v>
                </c:pt>
                <c:pt idx="9" formatCode="0.0000">
                  <c:v>0.69299999999999995</c:v>
                </c:pt>
                <c:pt idx="10">
                  <c:v>0</c:v>
                </c:pt>
                <c:pt idx="11">
                  <c:v>0</c:v>
                </c:pt>
                <c:pt idx="12">
                  <c:v>0.81699999999999995</c:v>
                </c:pt>
                <c:pt idx="13">
                  <c:v>0.7</c:v>
                </c:pt>
                <c:pt idx="14" formatCode="0.0000">
                  <c:v>0.69299999999999995</c:v>
                </c:pt>
              </c:numCache>
            </c:numRef>
          </c:xVal>
          <c:yVal>
            <c:numRef>
              <c:f>'11'!$R$28:$R$42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1.0004999999999999</c:v>
                </c:pt>
                <c:pt idx="3">
                  <c:v>1.00041</c:v>
                </c:pt>
                <c:pt idx="4" formatCode="0.0000">
                  <c:v>1.0004033000000001</c:v>
                </c:pt>
                <c:pt idx="5">
                  <c:v>0</c:v>
                </c:pt>
                <c:pt idx="6">
                  <c:v>0</c:v>
                </c:pt>
                <c:pt idx="7">
                  <c:v>1.0004999999999999</c:v>
                </c:pt>
                <c:pt idx="8">
                  <c:v>1.00041</c:v>
                </c:pt>
                <c:pt idx="9" formatCode="0.0000">
                  <c:v>1.0004033000000001</c:v>
                </c:pt>
                <c:pt idx="10">
                  <c:v>0</c:v>
                </c:pt>
                <c:pt idx="11">
                  <c:v>0</c:v>
                </c:pt>
                <c:pt idx="12">
                  <c:v>1.0004999999999999</c:v>
                </c:pt>
                <c:pt idx="13">
                  <c:v>1.00041</c:v>
                </c:pt>
                <c:pt idx="14" formatCode="0.0000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E1-43A4-955E-426EC43F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4-4122-98B5-61808586A67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EB4-4122-98B5-61808586A67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EB4-4122-98B5-61808586A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5-4540-9954-24800653861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55-4540-9954-24800653861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155-4540-9954-24800653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5.xml"/><Relationship Id="rId7" Type="http://schemas.openxmlformats.org/officeDocument/2006/relationships/image" Target="../media/image3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4.png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image" Target="../media/image4.png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image" Target="../media/image4.png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image" Target="../media/image4.png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D126FFB-CE30-401C-8455-15AE7950B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C69C7E2-A18A-4190-8595-52B7DF2A4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48</xdr:row>
      <xdr:rowOff>14967</xdr:rowOff>
    </xdr:from>
    <xdr:to>
      <xdr:col>8</xdr:col>
      <xdr:colOff>631092</xdr:colOff>
      <xdr:row>48</xdr:row>
      <xdr:rowOff>172302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D943DE77-466B-4E29-8F54-9840CFEED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27488" y="13235667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ADF47CD5-38DE-4460-8AF4-A4A0D670F538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104775</xdr:rowOff>
    </xdr:from>
    <xdr:to>
      <xdr:col>0</xdr:col>
      <xdr:colOff>1227375</xdr:colOff>
      <xdr:row>1</xdr:row>
      <xdr:rowOff>283853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9730258-D964-4BEA-B917-C69E4D81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1198800" cy="3695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11</xdr:col>
      <xdr:colOff>132495</xdr:colOff>
      <xdr:row>36</xdr:row>
      <xdr:rowOff>114048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9325"/>
          <a:ext cx="6838095" cy="20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23F9A65-906D-42CF-912A-07E4CA2B7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F8A4698-CAAA-4D9A-B2E7-F62878B18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3D817-7EBD-40D8-A069-45C99AE4F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9F56F7B-4D17-4F42-A7B6-DCA4F4C45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483688</xdr:colOff>
      <xdr:row>0</xdr:row>
      <xdr:rowOff>0</xdr:rowOff>
    </xdr:from>
    <xdr:to>
      <xdr:col>8</xdr:col>
      <xdr:colOff>631092</xdr:colOff>
      <xdr:row>0</xdr:row>
      <xdr:rowOff>157335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5A4878A6-F579-4F65-99BC-5014DE53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27488" y="13235667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86E3C7B8-0FAF-4F25-84DF-D510676EBA23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1227375</xdr:colOff>
      <xdr:row>1</xdr:row>
      <xdr:rowOff>121928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D5BF3A2-1F19-4CB7-9D08-A72E3E5C0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1198800" cy="369578"/>
        </a:xfrm>
        <a:prstGeom prst="rect">
          <a:avLst/>
        </a:prstGeom>
      </xdr:spPr>
    </xdr:pic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E3F6789-2053-4B65-B30B-78452738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CFE4B29-0B78-4AE1-8283-67B2FDF46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9347EE1-D936-4AF8-8772-306CEEDF1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468463-2428-4B39-8D45-93C86A8CD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0437B06-18EF-4D17-B6BA-CFF4531F0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EA1BC80F-58C2-4CA3-AF6A-3808D8A011D9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A5A0D86-2365-4871-A74A-88061CD39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4CEC381-6C62-40EB-A17F-EE4A173DE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338EC5B-C3DE-4305-97A2-CC0F99DD3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3EB3F3-EA46-4534-84E3-9EFEF1D32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C3444A40-0338-4366-AE2F-3991D43A1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B15337FE-3BE6-4BC3-95A5-DA889D92389E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8D5D5FF-F370-4BF3-9B55-DCD7AC94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B5DBBB7-DA16-405E-B678-4916CA16D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D62E71D-FE90-4903-97D1-07176592A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3E261F-CC9F-4749-AC77-0BC74E2F5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BD0E44C-B866-4C7A-A9BC-307722250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3A71348D-F399-41F8-A8AB-24A1299D21DD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93DC2F4-9028-4264-89DD-8B81E6618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1625767-E113-4002-AB2F-B01D4E41B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DB4917BF-035E-4FEC-9545-2F012559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DFE414-86CD-4319-93F1-6397FA797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0B620C0-B929-4871-9E7D-AF17CCD19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1350C63D-8D78-4904-92EF-22BFA9E2BCFC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FCE508-12C4-49F2-AFD3-658BD642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12D45CA-67CE-4722-810E-22014E472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17051D29-9FE8-4C38-AA64-51632FF21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58807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46DB42FB-6DCA-4057-AD2D-7A2C604AD2E1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86D0-F576-438D-8435-760E695CB16B}">
  <sheetPr>
    <tabColor rgb="FFFFFF00"/>
  </sheetPr>
  <dimension ref="A1:U50"/>
  <sheetViews>
    <sheetView showGridLines="0" view="pageBreakPreview" topLeftCell="A30" zoomScaleNormal="115" zoomScaleSheetLayoutView="100" workbookViewId="0">
      <selection activeCell="A40" sqref="A40:B40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15" ht="15" customHeight="1" x14ac:dyDescent="0.25">
      <c r="A1" s="173"/>
      <c r="B1" s="175" t="s">
        <v>94</v>
      </c>
      <c r="C1" s="176"/>
      <c r="D1" s="176"/>
      <c r="E1" s="176"/>
      <c r="F1" s="176"/>
      <c r="G1" s="177"/>
      <c r="H1" s="181" t="s">
        <v>87</v>
      </c>
      <c r="I1" s="182"/>
      <c r="J1" s="6"/>
      <c r="K1" s="6"/>
    </row>
    <row r="2" spans="1:15" ht="27" customHeight="1" thickBot="1" x14ac:dyDescent="0.3">
      <c r="A2" s="174"/>
      <c r="B2" s="178"/>
      <c r="C2" s="179"/>
      <c r="D2" s="179"/>
      <c r="E2" s="179"/>
      <c r="F2" s="179"/>
      <c r="G2" s="180"/>
      <c r="H2" s="183"/>
      <c r="I2" s="184"/>
      <c r="J2" s="6"/>
      <c r="K2" s="6"/>
    </row>
    <row r="3" spans="1:15" ht="15" customHeight="1" thickBot="1" x14ac:dyDescent="0.3">
      <c r="A3" s="185" t="s">
        <v>86</v>
      </c>
      <c r="B3" s="186"/>
      <c r="C3" s="186"/>
      <c r="D3" s="186"/>
      <c r="E3" s="186"/>
      <c r="F3" s="186"/>
      <c r="G3" s="186"/>
      <c r="H3" s="186"/>
      <c r="I3" s="187"/>
      <c r="J3" s="6"/>
      <c r="K3" s="6"/>
    </row>
    <row r="4" spans="1:15" s="6" customFormat="1" ht="33" hidden="1" customHeight="1" thickBot="1" x14ac:dyDescent="0.3">
      <c r="A4" s="83"/>
      <c r="B4" s="83"/>
      <c r="C4" s="83"/>
      <c r="D4" s="83"/>
      <c r="E4" s="83"/>
      <c r="F4" s="83"/>
      <c r="G4" s="83"/>
      <c r="H4" s="83"/>
      <c r="I4" s="83"/>
    </row>
    <row r="5" spans="1:15" s="6" customFormat="1" ht="21.6" customHeight="1" x14ac:dyDescent="0.25">
      <c r="A5" s="64" t="s">
        <v>51</v>
      </c>
      <c r="B5" s="142" t="s">
        <v>145</v>
      </c>
      <c r="C5" s="40"/>
      <c r="D5" s="39"/>
      <c r="E5" s="39"/>
      <c r="F5" s="39"/>
      <c r="G5" s="39"/>
      <c r="H5" s="39"/>
      <c r="I5" s="39"/>
    </row>
    <row r="6" spans="1:15" s="39" customFormat="1" ht="21.6" customHeight="1" x14ac:dyDescent="0.25">
      <c r="A6" s="64" t="s">
        <v>65</v>
      </c>
      <c r="B6" s="40" t="s">
        <v>144</v>
      </c>
      <c r="C6" s="41"/>
      <c r="D6" s="41"/>
      <c r="E6" s="41"/>
      <c r="F6" s="41"/>
      <c r="G6" s="42"/>
      <c r="H6" s="42" t="s">
        <v>44</v>
      </c>
      <c r="I6" s="143">
        <v>45826</v>
      </c>
    </row>
    <row r="7" spans="1:15" s="39" customFormat="1" ht="4.5" customHeight="1" x14ac:dyDescent="0.25">
      <c r="A7" s="43"/>
      <c r="B7" s="44"/>
      <c r="C7" s="45"/>
      <c r="D7" s="44"/>
      <c r="E7" s="44"/>
      <c r="F7" s="46"/>
      <c r="G7" s="46"/>
      <c r="H7" s="46"/>
      <c r="I7" s="47"/>
    </row>
    <row r="8" spans="1:15" s="8" customFormat="1" ht="19.899999999999999" customHeight="1" x14ac:dyDescent="0.25">
      <c r="A8" s="48" t="s">
        <v>13</v>
      </c>
      <c r="B8" s="48"/>
      <c r="C8" s="48"/>
      <c r="D8" s="48"/>
      <c r="E8" s="48"/>
      <c r="F8" s="48"/>
      <c r="G8" s="48"/>
      <c r="H8" s="48"/>
      <c r="I8" s="48"/>
    </row>
    <row r="9" spans="1:15" s="14" customFormat="1" ht="15.75" customHeight="1" x14ac:dyDescent="0.25">
      <c r="A9" s="65" t="s">
        <v>45</v>
      </c>
      <c r="C9" s="144" t="s">
        <v>95</v>
      </c>
      <c r="D9" s="49"/>
      <c r="E9" s="50"/>
      <c r="F9" s="50"/>
      <c r="G9" s="50"/>
      <c r="H9" s="50"/>
      <c r="I9" s="50"/>
    </row>
    <row r="10" spans="1:15" s="6" customFormat="1" ht="15.75" customHeight="1" x14ac:dyDescent="0.25">
      <c r="A10" s="2" t="s">
        <v>25</v>
      </c>
      <c r="C10" s="144" t="s">
        <v>96</v>
      </c>
      <c r="D10" s="5"/>
      <c r="F10" s="17"/>
      <c r="G10" s="17"/>
      <c r="H10" s="17"/>
      <c r="I10" s="17"/>
    </row>
    <row r="11" spans="1:15" s="6" customFormat="1" ht="4.5" customHeight="1" x14ac:dyDescent="0.25">
      <c r="B11" s="5"/>
      <c r="C11" s="5"/>
      <c r="D11" s="5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s="6" customFormat="1" ht="18" x14ac:dyDescent="0.25">
      <c r="A12" s="48" t="s">
        <v>52</v>
      </c>
      <c r="B12" s="48"/>
      <c r="C12" s="48"/>
      <c r="D12" s="48"/>
      <c r="E12" s="48"/>
      <c r="F12" s="48"/>
      <c r="G12" s="48"/>
      <c r="H12" s="48"/>
      <c r="I12" s="48"/>
    </row>
    <row r="13" spans="1:15" s="6" customFormat="1" ht="18.75" x14ac:dyDescent="0.25">
      <c r="A13" s="65" t="s">
        <v>45</v>
      </c>
      <c r="C13" s="14" t="s">
        <v>24</v>
      </c>
      <c r="G13" s="52"/>
      <c r="H13" s="53"/>
    </row>
    <row r="14" spans="1:15" s="6" customFormat="1" ht="18.75" x14ac:dyDescent="0.25">
      <c r="A14" s="2" t="s">
        <v>25</v>
      </c>
      <c r="C14" s="6" t="s">
        <v>112</v>
      </c>
      <c r="G14" s="52"/>
      <c r="H14" s="53"/>
    </row>
    <row r="15" spans="1:15" s="14" customFormat="1" ht="15.75" x14ac:dyDescent="0.2">
      <c r="A15" s="2" t="s">
        <v>46</v>
      </c>
      <c r="C15" s="6" t="s">
        <v>79</v>
      </c>
    </row>
    <row r="16" spans="1:15" s="6" customFormat="1" ht="4.5" customHeight="1" x14ac:dyDescent="0.25">
      <c r="B16" s="5"/>
      <c r="C16" s="5"/>
      <c r="D16" s="5"/>
      <c r="E16" s="17"/>
      <c r="F16" s="17"/>
      <c r="G16" s="17"/>
      <c r="H16" s="17"/>
      <c r="I16" s="17"/>
    </row>
    <row r="17" spans="1:9" s="8" customFormat="1" ht="18" x14ac:dyDescent="0.25">
      <c r="A17" s="48" t="s">
        <v>16</v>
      </c>
      <c r="B17" s="48"/>
      <c r="C17" s="48"/>
      <c r="D17" s="48"/>
      <c r="E17" s="48"/>
      <c r="F17" s="48"/>
      <c r="G17" s="48"/>
      <c r="H17" s="48"/>
      <c r="I17" s="48"/>
    </row>
    <row r="18" spans="1:9" s="6" customFormat="1" ht="15.75" x14ac:dyDescent="0.25">
      <c r="A18" s="2" t="s">
        <v>14</v>
      </c>
      <c r="C18" s="81" t="s">
        <v>97</v>
      </c>
      <c r="D18" s="81"/>
      <c r="E18" s="51"/>
    </row>
    <row r="19" spans="1:9" s="6" customFormat="1" ht="15.75" x14ac:dyDescent="0.25">
      <c r="A19" s="2" t="s">
        <v>15</v>
      </c>
      <c r="C19" s="145" t="s">
        <v>98</v>
      </c>
      <c r="D19" s="54"/>
      <c r="E19" s="51"/>
    </row>
    <row r="20" spans="1:9" s="6" customFormat="1" ht="15.75" x14ac:dyDescent="0.25">
      <c r="A20" s="2" t="s">
        <v>53</v>
      </c>
      <c r="C20" s="145">
        <v>17.5</v>
      </c>
      <c r="D20" s="54"/>
      <c r="E20" s="51"/>
    </row>
    <row r="21" spans="1:9" s="6" customFormat="1" ht="15.75" x14ac:dyDescent="0.25">
      <c r="A21" s="2" t="s">
        <v>54</v>
      </c>
      <c r="C21" s="145" t="s">
        <v>99</v>
      </c>
      <c r="D21" s="54"/>
      <c r="E21" s="51"/>
    </row>
    <row r="22" spans="1:9" s="6" customFormat="1" ht="15.75" x14ac:dyDescent="0.25">
      <c r="A22" s="2" t="s">
        <v>68</v>
      </c>
      <c r="C22" s="146" t="s">
        <v>146</v>
      </c>
      <c r="D22" s="66"/>
      <c r="E22" s="51"/>
    </row>
    <row r="23" spans="1:9" s="6" customFormat="1" ht="15.75" x14ac:dyDescent="0.25">
      <c r="A23" s="2" t="s">
        <v>69</v>
      </c>
      <c r="C23" s="146" t="s">
        <v>100</v>
      </c>
      <c r="D23" s="54"/>
      <c r="E23" s="51"/>
    </row>
    <row r="24" spans="1:9" s="6" customFormat="1" ht="15.75" x14ac:dyDescent="0.25">
      <c r="A24" s="2" t="s">
        <v>76</v>
      </c>
      <c r="C24" s="146" t="s">
        <v>101</v>
      </c>
      <c r="D24" s="54"/>
      <c r="E24" s="51"/>
    </row>
    <row r="25" spans="1:9" s="6" customFormat="1" ht="15" customHeight="1" x14ac:dyDescent="0.25">
      <c r="A25" s="2" t="s">
        <v>77</v>
      </c>
      <c r="C25" s="54">
        <v>5</v>
      </c>
    </row>
    <row r="26" spans="1:9" s="6" customFormat="1" ht="15" x14ac:dyDescent="0.25"/>
    <row r="27" spans="1:9" s="6" customFormat="1" ht="15.75" x14ac:dyDescent="0.25">
      <c r="A27" s="2" t="s">
        <v>102</v>
      </c>
      <c r="C27" s="81" t="s">
        <v>103</v>
      </c>
      <c r="E27" s="81"/>
      <c r="F27" s="82"/>
      <c r="G27" s="4"/>
      <c r="H27" s="4"/>
      <c r="I27" s="4"/>
    </row>
    <row r="28" spans="1:9" s="6" customFormat="1" ht="15.75" x14ac:dyDescent="0.25">
      <c r="A28" s="2"/>
      <c r="C28" s="81" t="s">
        <v>104</v>
      </c>
      <c r="E28" s="81"/>
      <c r="F28" s="82"/>
      <c r="G28" s="4"/>
      <c r="H28" s="4"/>
      <c r="I28" s="4"/>
    </row>
    <row r="29" spans="1:9" s="6" customFormat="1" ht="15.75" x14ac:dyDescent="0.25">
      <c r="A29" s="2"/>
      <c r="C29" s="51"/>
      <c r="E29" s="51"/>
      <c r="F29" s="4"/>
      <c r="G29" s="4"/>
      <c r="H29" s="4"/>
      <c r="I29" s="4"/>
    </row>
    <row r="30" spans="1:9" s="6" customFormat="1" ht="15.75" x14ac:dyDescent="0.25">
      <c r="A30" s="2" t="s">
        <v>55</v>
      </c>
      <c r="C30" s="51" t="s">
        <v>85</v>
      </c>
      <c r="E30" s="51"/>
      <c r="F30" s="4"/>
      <c r="G30" s="4"/>
      <c r="H30" s="4"/>
      <c r="I30" s="4"/>
    </row>
    <row r="31" spans="1:9" s="6" customFormat="1" ht="15" x14ac:dyDescent="0.25">
      <c r="C31" s="63" t="s">
        <v>82</v>
      </c>
      <c r="D31" s="51" t="s">
        <v>78</v>
      </c>
      <c r="F31" s="4"/>
      <c r="G31" s="4"/>
      <c r="H31" s="4"/>
      <c r="I31" s="4"/>
    </row>
    <row r="32" spans="1:9" s="6" customFormat="1" ht="15" x14ac:dyDescent="0.25">
      <c r="C32" s="63"/>
      <c r="D32" s="51"/>
      <c r="F32" s="4"/>
      <c r="G32" s="4"/>
      <c r="H32" s="4"/>
      <c r="I32" s="4"/>
    </row>
    <row r="33" spans="1:9" s="8" customFormat="1" ht="19.899999999999999" customHeight="1" x14ac:dyDescent="0.25">
      <c r="A33" s="48" t="s">
        <v>21</v>
      </c>
      <c r="B33" s="48"/>
      <c r="C33" s="48"/>
      <c r="D33" s="48"/>
      <c r="E33" s="48"/>
      <c r="F33" s="48"/>
      <c r="G33" s="48"/>
      <c r="H33" s="48"/>
      <c r="I33" s="48"/>
    </row>
    <row r="34" spans="1:9" s="6" customFormat="1" ht="25.5" customHeight="1" x14ac:dyDescent="0.25">
      <c r="A34" s="2" t="s">
        <v>27</v>
      </c>
      <c r="C34" s="2"/>
      <c r="D34" s="2"/>
      <c r="E34" s="2"/>
      <c r="F34" s="2"/>
      <c r="G34" s="2"/>
      <c r="H34" s="2"/>
      <c r="I34" s="2"/>
    </row>
    <row r="35" spans="1:9" s="6" customFormat="1" ht="51" customHeight="1" x14ac:dyDescent="0.25">
      <c r="A35" s="170" t="s">
        <v>83</v>
      </c>
      <c r="B35" s="170"/>
      <c r="C35" s="170"/>
      <c r="D35" s="170"/>
      <c r="E35" s="170"/>
      <c r="F35" s="170"/>
      <c r="G35" s="170"/>
      <c r="H35" s="170"/>
      <c r="I35" s="170"/>
    </row>
    <row r="36" spans="1:9" s="6" customFormat="1" ht="15.75" x14ac:dyDescent="0.25">
      <c r="A36" s="2" t="s">
        <v>28</v>
      </c>
      <c r="C36" s="2"/>
      <c r="D36" s="2"/>
      <c r="E36" s="2"/>
      <c r="F36" s="2"/>
      <c r="G36" s="2"/>
      <c r="H36" s="2"/>
      <c r="I36" s="2"/>
    </row>
    <row r="37" spans="1:9" s="6" customFormat="1" ht="65.25" customHeight="1" x14ac:dyDescent="0.25">
      <c r="A37" s="170" t="s">
        <v>147</v>
      </c>
      <c r="B37" s="170"/>
      <c r="C37" s="170"/>
      <c r="D37" s="170"/>
      <c r="E37" s="170"/>
      <c r="F37" s="170"/>
      <c r="G37" s="170"/>
      <c r="H37" s="170"/>
      <c r="I37" s="170"/>
    </row>
    <row r="38" spans="1:9" s="8" customFormat="1" ht="19.899999999999999" customHeight="1" x14ac:dyDescent="0.25">
      <c r="A38" s="48" t="s">
        <v>58</v>
      </c>
      <c r="B38" s="48"/>
      <c r="C38" s="48"/>
      <c r="D38" s="48"/>
      <c r="E38" s="48"/>
      <c r="F38" s="48"/>
      <c r="G38" s="48"/>
      <c r="H38" s="48"/>
      <c r="I38" s="48"/>
    </row>
    <row r="39" spans="1:9" s="55" customFormat="1" ht="4.9000000000000004" customHeight="1" x14ac:dyDescent="0.2">
      <c r="B39" s="6"/>
      <c r="C39" s="6"/>
      <c r="D39" s="6"/>
      <c r="E39" s="6"/>
      <c r="F39" s="6"/>
      <c r="G39" s="6"/>
      <c r="H39" s="6"/>
      <c r="I39" s="6"/>
    </row>
    <row r="40" spans="1:9" s="14" customFormat="1" ht="44.45" customHeight="1" x14ac:dyDescent="0.2">
      <c r="A40" s="171" t="s">
        <v>59</v>
      </c>
      <c r="B40" s="172"/>
      <c r="C40" s="18" t="s">
        <v>60</v>
      </c>
      <c r="D40" s="56" t="s">
        <v>1</v>
      </c>
      <c r="E40" s="18" t="s">
        <v>0</v>
      </c>
      <c r="F40" s="18" t="s">
        <v>61</v>
      </c>
      <c r="G40" s="18" t="s">
        <v>62</v>
      </c>
      <c r="H40" s="18" t="s">
        <v>2</v>
      </c>
    </row>
    <row r="41" spans="1:9" s="14" customFormat="1" ht="21" customHeight="1" x14ac:dyDescent="0.2">
      <c r="A41" s="75" t="s">
        <v>71</v>
      </c>
      <c r="B41" s="76"/>
      <c r="C41" s="70" t="s">
        <v>148</v>
      </c>
      <c r="D41" s="70" t="s">
        <v>149</v>
      </c>
      <c r="E41" s="71">
        <v>160869</v>
      </c>
      <c r="F41" s="72">
        <v>45629</v>
      </c>
      <c r="G41" s="73">
        <v>45994</v>
      </c>
      <c r="H41" s="72" t="s">
        <v>110</v>
      </c>
      <c r="I41" s="11"/>
    </row>
    <row r="42" spans="1:9" s="14" customFormat="1" ht="21" customHeight="1" x14ac:dyDescent="0.2">
      <c r="A42" s="75" t="s">
        <v>81</v>
      </c>
      <c r="B42" s="77"/>
      <c r="C42" s="70" t="s">
        <v>106</v>
      </c>
      <c r="D42" s="70" t="s">
        <v>107</v>
      </c>
      <c r="E42" s="71">
        <v>170081</v>
      </c>
      <c r="F42" s="72">
        <v>45793</v>
      </c>
      <c r="G42" s="73">
        <v>46157</v>
      </c>
      <c r="H42" s="72" t="s">
        <v>108</v>
      </c>
    </row>
    <row r="43" spans="1:9" s="14" customFormat="1" ht="21" customHeight="1" x14ac:dyDescent="0.2">
      <c r="A43" s="74" t="s">
        <v>72</v>
      </c>
      <c r="B43" s="77"/>
      <c r="C43" s="70" t="s">
        <v>143</v>
      </c>
      <c r="D43" s="70" t="s">
        <v>143</v>
      </c>
      <c r="E43" s="71">
        <v>32225</v>
      </c>
      <c r="F43" s="72">
        <v>44558</v>
      </c>
      <c r="G43" s="73">
        <v>46382</v>
      </c>
      <c r="H43" s="72" t="s">
        <v>109</v>
      </c>
    </row>
    <row r="44" spans="1:9" s="6" customFormat="1" ht="9.6" customHeight="1" x14ac:dyDescent="0.25">
      <c r="B44" s="5"/>
      <c r="C44" s="5"/>
      <c r="E44" s="15"/>
      <c r="F44" s="16"/>
      <c r="G44" s="16"/>
      <c r="H44" s="34"/>
      <c r="I44" s="34"/>
    </row>
    <row r="45" spans="1:9" s="6" customFormat="1" ht="9.6" customHeight="1" x14ac:dyDescent="0.25">
      <c r="B45" s="5"/>
      <c r="C45" s="5"/>
      <c r="E45" s="15"/>
      <c r="F45" s="16"/>
      <c r="G45" s="16"/>
      <c r="H45" s="34"/>
      <c r="I45" s="34"/>
    </row>
    <row r="46" spans="1:9" s="6" customFormat="1" ht="9.6" customHeight="1" x14ac:dyDescent="0.25">
      <c r="B46" s="5"/>
      <c r="C46" s="5"/>
      <c r="E46" s="15"/>
      <c r="F46" s="16"/>
      <c r="G46" s="16"/>
      <c r="H46" s="34"/>
      <c r="I46" s="34"/>
    </row>
    <row r="47" spans="1:9" s="6" customFormat="1" ht="15" x14ac:dyDescent="0.25">
      <c r="C47" s="63"/>
      <c r="D47" s="51"/>
      <c r="F47" s="4"/>
      <c r="G47" s="4"/>
      <c r="H47" s="4"/>
      <c r="I47" s="4"/>
    </row>
    <row r="48" spans="1:9" s="6" customFormat="1" ht="72.599999999999994" customHeight="1" x14ac:dyDescent="0.25">
      <c r="A48" s="169" t="s">
        <v>56</v>
      </c>
      <c r="B48" s="169"/>
      <c r="C48" s="169"/>
      <c r="D48" s="169"/>
      <c r="E48" s="169"/>
      <c r="F48" s="169"/>
      <c r="G48" s="169"/>
      <c r="H48" s="169"/>
      <c r="I48" s="169"/>
    </row>
    <row r="49" spans="5:21" s="6" customFormat="1" ht="15" x14ac:dyDescent="0.25">
      <c r="E49" s="51"/>
      <c r="F49" s="4"/>
      <c r="G49" s="4"/>
      <c r="H49" s="4"/>
      <c r="I49" s="59" t="s">
        <v>57</v>
      </c>
    </row>
    <row r="50" spans="5:21" x14ac:dyDescent="0.25">
      <c r="M50" s="10"/>
      <c r="N50" s="10"/>
      <c r="O50" s="10"/>
      <c r="P50" s="10"/>
      <c r="Q50" s="10"/>
      <c r="R50" s="10"/>
      <c r="S50" s="10"/>
      <c r="T50" s="10"/>
      <c r="U50" s="10"/>
    </row>
  </sheetData>
  <mergeCells count="8">
    <mergeCell ref="A48:I48"/>
    <mergeCell ref="A35:I35"/>
    <mergeCell ref="A37:I37"/>
    <mergeCell ref="A40:B40"/>
    <mergeCell ref="A1:A2"/>
    <mergeCell ref="B1:G2"/>
    <mergeCell ref="H1:I2"/>
    <mergeCell ref="A3:I3"/>
  </mergeCells>
  <dataValidations count="1">
    <dataValidation type="list" allowBlank="1" showInputMessage="1" showErrorMessage="1" sqref="H13:H14" xr:uid="{0B93FA3D-81E4-488C-BC06-96F591FB9781}">
      <formula1>#REF!</formula1>
    </dataValidation>
  </dataValidations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2102-4804&amp;R&amp;"Arial,Normal"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workbookViewId="0">
      <selection activeCell="F5" sqref="F5"/>
    </sheetView>
  </sheetViews>
  <sheetFormatPr defaultRowHeight="15" x14ac:dyDescent="0.25"/>
  <sheetData>
    <row r="1" spans="1:19" ht="15.6" x14ac:dyDescent="0.3">
      <c r="A1" s="2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212" t="s">
        <v>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</row>
    <row r="3" spans="1:19" ht="15.6" x14ac:dyDescent="0.3">
      <c r="A3" s="6"/>
      <c r="B3" s="3"/>
      <c r="C3" s="6"/>
      <c r="D3" s="6"/>
      <c r="E3" s="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6" x14ac:dyDescent="0.3">
      <c r="A4" s="2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6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6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170" t="s">
        <v>8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</row>
    <row r="12" spans="1:19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6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75" x14ac:dyDescent="0.25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x14ac:dyDescent="0.25">
      <c r="A16" s="2" t="s">
        <v>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97.9" customHeight="1" x14ac:dyDescent="0.25">
      <c r="A17" s="213" t="s">
        <v>22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</row>
    <row r="18" spans="1:1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75" x14ac:dyDescent="0.25">
      <c r="A19" s="2" t="s">
        <v>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6" t="s">
        <v>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213" t="s">
        <v>10</v>
      </c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</row>
    <row r="22" spans="1:19" x14ac:dyDescent="0.25">
      <c r="A22" s="213" t="s">
        <v>11</v>
      </c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</row>
    <row r="25" spans="1:19" x14ac:dyDescent="0.25">
      <c r="A25" t="s">
        <v>80</v>
      </c>
    </row>
  </sheetData>
  <mergeCells count="5">
    <mergeCell ref="A2:S2"/>
    <mergeCell ref="A11:S11"/>
    <mergeCell ref="A22:S22"/>
    <mergeCell ref="A17:S17"/>
    <mergeCell ref="A21:S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F886-FDAE-41E2-BCD8-6BACA8339DB4}">
  <dimension ref="A1:U43"/>
  <sheetViews>
    <sheetView showGridLines="0" tabSelected="1" view="pageBreakPreview" topLeftCell="A12" zoomScaleNormal="115" zoomScaleSheetLayoutView="10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97" t="s">
        <v>73</v>
      </c>
      <c r="B1" s="198"/>
      <c r="C1" s="198"/>
      <c r="D1" s="198"/>
      <c r="E1" s="198"/>
      <c r="F1" s="198"/>
      <c r="G1" s="198"/>
      <c r="H1" s="198"/>
      <c r="I1" s="199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127</v>
      </c>
      <c r="D3" s="153"/>
      <c r="I3" s="99"/>
    </row>
    <row r="4" spans="1:21" s="10" customFormat="1" ht="11.25" x14ac:dyDescent="0.25">
      <c r="A4" s="200" t="s">
        <v>40</v>
      </c>
      <c r="B4" s="201"/>
      <c r="C4" s="202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117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203" t="s">
        <v>88</v>
      </c>
      <c r="N6" s="203">
        <v>-1.5</v>
      </c>
      <c r="O6" s="203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118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204"/>
      <c r="N7" s="204"/>
      <c r="O7" s="204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119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120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208" t="s">
        <v>89</v>
      </c>
      <c r="N9" s="208">
        <v>-0.75</v>
      </c>
      <c r="O9" s="208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121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9"/>
      <c r="N10" s="209"/>
      <c r="O10" s="209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122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123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10" t="s">
        <v>90</v>
      </c>
      <c r="N12" s="210">
        <v>-0.5</v>
      </c>
      <c r="O12" s="210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124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11"/>
      <c r="N13" s="211"/>
      <c r="O13" s="211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125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205" t="s">
        <v>43</v>
      </c>
      <c r="B18" s="206"/>
      <c r="C18" s="207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29.4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188" t="s">
        <v>64</v>
      </c>
      <c r="B25" s="189"/>
      <c r="C25" s="189"/>
      <c r="D25" s="189"/>
      <c r="E25" s="189"/>
      <c r="F25" s="189"/>
      <c r="G25" s="189"/>
      <c r="H25" s="189"/>
      <c r="I25" s="190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91" t="s">
        <v>66</v>
      </c>
      <c r="B26" s="193" t="s">
        <v>84</v>
      </c>
      <c r="C26" s="58" t="s">
        <v>36</v>
      </c>
      <c r="D26" s="36" t="s">
        <v>35</v>
      </c>
      <c r="E26" s="193" t="s">
        <v>34</v>
      </c>
      <c r="F26" s="193"/>
      <c r="G26" s="193" t="s">
        <v>33</v>
      </c>
      <c r="H26" s="193"/>
      <c r="I26" s="195" t="s">
        <v>29</v>
      </c>
    </row>
    <row r="27" spans="1:21" s="10" customFormat="1" ht="13.5" thickBot="1" x14ac:dyDescent="0.3">
      <c r="A27" s="192"/>
      <c r="B27" s="194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196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128</v>
      </c>
      <c r="C28" s="132" t="str">
        <f>A6</f>
        <v>4:1/1%</v>
      </c>
      <c r="D28" s="133">
        <v>5</v>
      </c>
      <c r="E28" s="89"/>
      <c r="F28" s="90"/>
      <c r="G28" s="122">
        <f>E28-((B6-1)*100)</f>
        <v>-8.3330000000003679E-2</v>
      </c>
      <c r="H28" s="122">
        <f>F28+C6</f>
        <v>2.843</v>
      </c>
      <c r="I28" s="123">
        <f>1-(G28/100)</f>
        <v>1.0008333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2.843</v>
      </c>
      <c r="N28" s="12">
        <f t="shared" ref="N28:N42" si="1">IFERROR(VLOOKUP($A$6,C28:I28,7,0),0)</f>
        <v>1.0008333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128</v>
      </c>
      <c r="C29" s="134" t="str">
        <f t="shared" ref="C29" si="4">A7</f>
        <v>4:1/5%</v>
      </c>
      <c r="D29" s="135">
        <v>5</v>
      </c>
      <c r="E29" s="79"/>
      <c r="F29" s="57"/>
      <c r="G29" s="124">
        <f t="shared" ref="G29" si="5">E29-((B7-1)*100)</f>
        <v>-6.7330000000009882E-2</v>
      </c>
      <c r="H29" s="124">
        <f t="shared" ref="H29" si="6">F29+C7</f>
        <v>1.657</v>
      </c>
      <c r="I29" s="125">
        <f t="shared" ref="I29:I30" si="7">1-(G29/100)</f>
        <v>1.0006733000000001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1.657</v>
      </c>
      <c r="P29" s="12">
        <f t="shared" si="3"/>
        <v>1.0006733000000001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128</v>
      </c>
      <c r="C30" s="134" t="str">
        <f>A9</f>
        <v>4:1/20%</v>
      </c>
      <c r="D30" s="135">
        <v>5</v>
      </c>
      <c r="E30" s="79"/>
      <c r="F30" s="57"/>
      <c r="G30" s="124">
        <f>E30-((B9-1)*100)</f>
        <v>-4.9999999999994493E-2</v>
      </c>
      <c r="H30" s="124">
        <f>F30+C9</f>
        <v>0.81699999999999995</v>
      </c>
      <c r="I30" s="125">
        <f t="shared" si="7"/>
        <v>1.0004999999999999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0.81699999999999995</v>
      </c>
      <c r="R30" s="12">
        <f>IFERROR(VLOOKUP($A$9,C30:I30,7,0),IFERROR(VLOOKUP($A$12,C30:I30,7,0),IFERROR(VLOOKUP($A$14,C30:I30,7,0),0)))</f>
        <v>1.0004999999999999</v>
      </c>
    </row>
    <row r="31" spans="1:21" s="10" customFormat="1" ht="13.9" customHeight="1" x14ac:dyDescent="0.25">
      <c r="A31" s="163">
        <v>45957</v>
      </c>
      <c r="B31" s="151" t="s">
        <v>128</v>
      </c>
      <c r="C31" s="134" t="str">
        <f>A12</f>
        <v>4:1/100%</v>
      </c>
      <c r="D31" s="135">
        <v>5</v>
      </c>
      <c r="E31" s="79"/>
      <c r="F31" s="57"/>
      <c r="G31" s="124">
        <f>E31-((B12-1)*100)</f>
        <v>-4.1000000000002146E-2</v>
      </c>
      <c r="H31" s="124">
        <f>F31+C12</f>
        <v>0.7</v>
      </c>
      <c r="I31" s="125">
        <f>1-(G31/100)</f>
        <v>1.00041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</v>
      </c>
      <c r="R31" s="12">
        <f t="shared" ref="R31:R41" si="10">IFERROR(VLOOKUP($A$9,C31:I31,7,0),IFERROR(VLOOKUP($A$12,C31:I31,7,0),IFERROR(VLOOKUP($A$14,C31:I31,7,0),0)))</f>
        <v>1.00041</v>
      </c>
    </row>
    <row r="32" spans="1:21" s="10" customFormat="1" ht="13.9" customHeight="1" thickBot="1" x14ac:dyDescent="0.3">
      <c r="A32" s="165">
        <v>45957</v>
      </c>
      <c r="B32" s="166" t="s">
        <v>128</v>
      </c>
      <c r="C32" s="136" t="str">
        <f>A13</f>
        <v>4:1/120%</v>
      </c>
      <c r="D32" s="137">
        <v>5</v>
      </c>
      <c r="E32" s="119"/>
      <c r="F32" s="120"/>
      <c r="G32" s="126">
        <f>E32-((B13-1)*100)</f>
        <v>-4.0330000000010635E-2</v>
      </c>
      <c r="H32" s="126">
        <f>F32+C13</f>
        <v>0.69299999999999995</v>
      </c>
      <c r="I32" s="127">
        <f t="shared" ref="I32" si="11">1-(G32/100)</f>
        <v>1.0004033000000001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0.69299999999999995</v>
      </c>
      <c r="R32" s="141">
        <f>I32</f>
        <v>1.0004033000000001</v>
      </c>
    </row>
    <row r="33" spans="1:21" s="10" customFormat="1" ht="13.9" customHeight="1" thickTop="1" x14ac:dyDescent="0.25">
      <c r="A33" s="164">
        <v>45957</v>
      </c>
      <c r="B33" s="116" t="s">
        <v>129</v>
      </c>
      <c r="C33" s="138" t="str">
        <f>A6</f>
        <v>4:1/1%</v>
      </c>
      <c r="D33" s="138">
        <v>5</v>
      </c>
      <c r="E33" s="117"/>
      <c r="F33" s="118"/>
      <c r="G33" s="128">
        <f>E33-((B6-1)*100)</f>
        <v>-8.3330000000003679E-2</v>
      </c>
      <c r="H33" s="128">
        <f>F33+C6</f>
        <v>2.843</v>
      </c>
      <c r="I33" s="129">
        <f>1-(G33/100)</f>
        <v>1.0008333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2.843</v>
      </c>
      <c r="N33" s="12">
        <f t="shared" si="1"/>
        <v>1.0008333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129</v>
      </c>
      <c r="C34" s="135" t="str">
        <f>A7</f>
        <v>4:1/5%</v>
      </c>
      <c r="D34" s="135">
        <v>5</v>
      </c>
      <c r="E34" s="79"/>
      <c r="F34" s="57"/>
      <c r="G34" s="124">
        <f>E34-((B7-1)*100)</f>
        <v>-6.7330000000009882E-2</v>
      </c>
      <c r="H34" s="124">
        <f>F34+C7</f>
        <v>1.657</v>
      </c>
      <c r="I34" s="125">
        <f t="shared" ref="I34:I35" si="12">1-(G34/100)</f>
        <v>1.0006733000000001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1.657</v>
      </c>
      <c r="P34" s="12">
        <f t="shared" si="3"/>
        <v>1.0006733000000001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129</v>
      </c>
      <c r="C35" s="135" t="str">
        <f>A9</f>
        <v>4:1/20%</v>
      </c>
      <c r="D35" s="135">
        <v>5</v>
      </c>
      <c r="E35" s="79"/>
      <c r="F35" s="57"/>
      <c r="G35" s="124">
        <f>E35-((B9-1)*100)</f>
        <v>-4.9999999999994493E-2</v>
      </c>
      <c r="H35" s="124">
        <f>F35+C9</f>
        <v>0.81699999999999995</v>
      </c>
      <c r="I35" s="125">
        <f t="shared" si="12"/>
        <v>1.0004999999999999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0.81699999999999995</v>
      </c>
      <c r="R35" s="12">
        <f t="shared" si="10"/>
        <v>1.0004999999999999</v>
      </c>
    </row>
    <row r="36" spans="1:21" s="10" customFormat="1" ht="13.9" customHeight="1" x14ac:dyDescent="0.25">
      <c r="A36" s="163">
        <v>45957</v>
      </c>
      <c r="B36" s="151" t="s">
        <v>129</v>
      </c>
      <c r="C36" s="135" t="str">
        <f>A12</f>
        <v>4:1/100%</v>
      </c>
      <c r="D36" s="135">
        <v>5</v>
      </c>
      <c r="E36" s="79"/>
      <c r="F36" s="57"/>
      <c r="G36" s="124">
        <f>E36-((B12-1)*100)</f>
        <v>-4.1000000000002146E-2</v>
      </c>
      <c r="H36" s="124">
        <f>F36+C12</f>
        <v>0.7</v>
      </c>
      <c r="I36" s="125">
        <f>1-(G36/100)</f>
        <v>1.00041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</v>
      </c>
      <c r="R36" s="12">
        <f t="shared" si="10"/>
        <v>1.00041</v>
      </c>
    </row>
    <row r="37" spans="1:21" s="10" customFormat="1" ht="13.9" customHeight="1" thickBot="1" x14ac:dyDescent="0.3">
      <c r="A37" s="165">
        <v>45957</v>
      </c>
      <c r="B37" s="166" t="s">
        <v>129</v>
      </c>
      <c r="C37" s="137" t="str">
        <f>A13</f>
        <v>4:1/120%</v>
      </c>
      <c r="D37" s="137">
        <v>5</v>
      </c>
      <c r="E37" s="119"/>
      <c r="F37" s="120"/>
      <c r="G37" s="126">
        <f>E37-((B13-1)*100)</f>
        <v>-4.0330000000010635E-2</v>
      </c>
      <c r="H37" s="126">
        <f>F37+C13</f>
        <v>0.69299999999999995</v>
      </c>
      <c r="I37" s="127">
        <f t="shared" ref="I37" si="13">1-(G37/100)</f>
        <v>1.0004033000000001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0.69299999999999995</v>
      </c>
      <c r="R37" s="141">
        <f>I37</f>
        <v>1.0004033000000001</v>
      </c>
    </row>
    <row r="38" spans="1:21" s="10" customFormat="1" ht="13.9" customHeight="1" thickTop="1" x14ac:dyDescent="0.25">
      <c r="A38" s="164">
        <v>45957</v>
      </c>
      <c r="B38" s="116" t="s">
        <v>130</v>
      </c>
      <c r="C38" s="138" t="str">
        <f>A6</f>
        <v>4:1/1%</v>
      </c>
      <c r="D38" s="138">
        <v>5</v>
      </c>
      <c r="E38" s="117"/>
      <c r="F38" s="118"/>
      <c r="G38" s="128">
        <f>E38-((B6-1)*100)</f>
        <v>-8.3330000000003679E-2</v>
      </c>
      <c r="H38" s="128">
        <f>F38+C6</f>
        <v>2.843</v>
      </c>
      <c r="I38" s="129">
        <f>1-(G38/100)</f>
        <v>1.0008333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2.843</v>
      </c>
      <c r="N38" s="12">
        <f t="shared" si="1"/>
        <v>1.0008333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130</v>
      </c>
      <c r="C39" s="135" t="str">
        <f>A7</f>
        <v>4:1/5%</v>
      </c>
      <c r="D39" s="135">
        <v>5</v>
      </c>
      <c r="E39" s="79"/>
      <c r="F39" s="57"/>
      <c r="G39" s="124">
        <f>E39-((B7-1)*100)</f>
        <v>-6.7330000000009882E-2</v>
      </c>
      <c r="H39" s="124">
        <f>F39+C7</f>
        <v>1.657</v>
      </c>
      <c r="I39" s="125">
        <f t="shared" ref="I39:I40" si="14">1-(G39/100)</f>
        <v>1.0006733000000001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1.657</v>
      </c>
      <c r="P39" s="12">
        <f t="shared" si="3"/>
        <v>1.0006733000000001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130</v>
      </c>
      <c r="C40" s="135" t="str">
        <f>A9</f>
        <v>4:1/20%</v>
      </c>
      <c r="D40" s="135">
        <v>5</v>
      </c>
      <c r="E40" s="79"/>
      <c r="F40" s="57"/>
      <c r="G40" s="124">
        <f>E40-((B9-1)*100)</f>
        <v>-4.9999999999994493E-2</v>
      </c>
      <c r="H40" s="124">
        <f>F40+C9</f>
        <v>0.81699999999999995</v>
      </c>
      <c r="I40" s="125">
        <f t="shared" si="14"/>
        <v>1.0004999999999999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0.81699999999999995</v>
      </c>
      <c r="R40" s="12">
        <f t="shared" si="10"/>
        <v>1.0004999999999999</v>
      </c>
    </row>
    <row r="41" spans="1:21" s="10" customFormat="1" ht="13.9" customHeight="1" x14ac:dyDescent="0.25">
      <c r="A41" s="163">
        <v>45957</v>
      </c>
      <c r="B41" s="151" t="s">
        <v>130</v>
      </c>
      <c r="C41" s="135" t="str">
        <f>A12</f>
        <v>4:1/100%</v>
      </c>
      <c r="D41" s="135">
        <v>5</v>
      </c>
      <c r="E41" s="79"/>
      <c r="F41" s="57"/>
      <c r="G41" s="124">
        <f>E41-((B12-1)*100)</f>
        <v>-4.1000000000002146E-2</v>
      </c>
      <c r="H41" s="124">
        <f>F41+C12</f>
        <v>0.7</v>
      </c>
      <c r="I41" s="125">
        <f>1-(G41/100)</f>
        <v>1.00041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0.7</v>
      </c>
      <c r="R41" s="12">
        <f t="shared" si="10"/>
        <v>1.00041</v>
      </c>
    </row>
    <row r="42" spans="1:21" s="10" customFormat="1" ht="13.9" customHeight="1" thickBot="1" x14ac:dyDescent="0.3">
      <c r="A42" s="167">
        <v>45957</v>
      </c>
      <c r="B42" s="168" t="s">
        <v>130</v>
      </c>
      <c r="C42" s="139" t="str">
        <f>A13</f>
        <v>4:1/120%</v>
      </c>
      <c r="D42" s="139">
        <v>5</v>
      </c>
      <c r="E42" s="80"/>
      <c r="F42" s="78"/>
      <c r="G42" s="130">
        <f>E42-((B13-1)*100)</f>
        <v>-4.0330000000010635E-2</v>
      </c>
      <c r="H42" s="130">
        <f>F42+C13</f>
        <v>0.69299999999999995</v>
      </c>
      <c r="I42" s="131">
        <f t="shared" ref="I42" si="16">1-(G42/100)</f>
        <v>1.0004033000000001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0.69299999999999995</v>
      </c>
      <c r="R42" s="141">
        <f>I42</f>
        <v>1.0004033000000001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4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0ACE-83CF-4C6F-8403-369FDD59BB82}">
  <dimension ref="A1:U43"/>
  <sheetViews>
    <sheetView showGridLines="0" view="pageBreakPreview" topLeftCell="A9" zoomScaleNormal="115" zoomScaleSheetLayoutView="100" workbookViewId="0">
      <selection activeCell="E28" sqref="E28:F42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97" t="s">
        <v>73</v>
      </c>
      <c r="B1" s="198"/>
      <c r="C1" s="198"/>
      <c r="D1" s="198"/>
      <c r="E1" s="198"/>
      <c r="F1" s="198"/>
      <c r="G1" s="198"/>
      <c r="H1" s="198"/>
      <c r="I1" s="199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127</v>
      </c>
      <c r="D3" s="153"/>
      <c r="I3" s="99"/>
    </row>
    <row r="4" spans="1:21" s="10" customFormat="1" ht="11.25" x14ac:dyDescent="0.25">
      <c r="A4" s="200" t="s">
        <v>40</v>
      </c>
      <c r="B4" s="201"/>
      <c r="C4" s="202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117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203" t="s">
        <v>88</v>
      </c>
      <c r="N6" s="203">
        <v>-1.5</v>
      </c>
      <c r="O6" s="203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118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204"/>
      <c r="N7" s="204"/>
      <c r="O7" s="204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119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120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208" t="s">
        <v>89</v>
      </c>
      <c r="N9" s="208">
        <v>-0.75</v>
      </c>
      <c r="O9" s="208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121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9"/>
      <c r="N10" s="209"/>
      <c r="O10" s="209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122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123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10" t="s">
        <v>90</v>
      </c>
      <c r="N12" s="210">
        <v>-0.5</v>
      </c>
      <c r="O12" s="210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124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11"/>
      <c r="N13" s="211"/>
      <c r="O13" s="211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125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205" t="s">
        <v>43</v>
      </c>
      <c r="B18" s="206"/>
      <c r="C18" s="207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29.7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188" t="s">
        <v>64</v>
      </c>
      <c r="B25" s="189"/>
      <c r="C25" s="189"/>
      <c r="D25" s="189"/>
      <c r="E25" s="189"/>
      <c r="F25" s="189"/>
      <c r="G25" s="189"/>
      <c r="H25" s="189"/>
      <c r="I25" s="190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91" t="s">
        <v>66</v>
      </c>
      <c r="B26" s="193" t="s">
        <v>84</v>
      </c>
      <c r="C26" s="58" t="s">
        <v>36</v>
      </c>
      <c r="D26" s="36" t="s">
        <v>35</v>
      </c>
      <c r="E26" s="193" t="s">
        <v>34</v>
      </c>
      <c r="F26" s="193"/>
      <c r="G26" s="193" t="s">
        <v>33</v>
      </c>
      <c r="H26" s="193"/>
      <c r="I26" s="195" t="s">
        <v>29</v>
      </c>
    </row>
    <row r="27" spans="1:21" s="10" customFormat="1" ht="13.5" thickBot="1" x14ac:dyDescent="0.3">
      <c r="A27" s="192"/>
      <c r="B27" s="194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196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131</v>
      </c>
      <c r="C28" s="132" t="str">
        <f>A6</f>
        <v>4:1/1%</v>
      </c>
      <c r="D28" s="133">
        <v>5</v>
      </c>
      <c r="E28" s="89"/>
      <c r="F28" s="90"/>
      <c r="G28" s="122">
        <f>E28-((B6-1)*100)</f>
        <v>-8.3330000000003679E-2</v>
      </c>
      <c r="H28" s="122">
        <f>F28+C6</f>
        <v>2.843</v>
      </c>
      <c r="I28" s="123">
        <f>1-(G28/100)</f>
        <v>1.0008333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2.843</v>
      </c>
      <c r="N28" s="12">
        <f t="shared" ref="N28:N42" si="1">IFERROR(VLOOKUP($A$6,C28:I28,7,0),0)</f>
        <v>1.0008333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131</v>
      </c>
      <c r="C29" s="134" t="str">
        <f t="shared" ref="C29" si="4">A7</f>
        <v>4:1/5%</v>
      </c>
      <c r="D29" s="135">
        <v>5</v>
      </c>
      <c r="E29" s="79"/>
      <c r="F29" s="57"/>
      <c r="G29" s="124">
        <f t="shared" ref="G29" si="5">E29-((B7-1)*100)</f>
        <v>-6.7330000000009882E-2</v>
      </c>
      <c r="H29" s="124">
        <f t="shared" ref="H29" si="6">F29+C7</f>
        <v>1.657</v>
      </c>
      <c r="I29" s="125">
        <f t="shared" ref="I29:I30" si="7">1-(G29/100)</f>
        <v>1.0006733000000001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1.657</v>
      </c>
      <c r="P29" s="12">
        <f t="shared" si="3"/>
        <v>1.0006733000000001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131</v>
      </c>
      <c r="C30" s="134" t="str">
        <f>A9</f>
        <v>4:1/20%</v>
      </c>
      <c r="D30" s="135">
        <v>5</v>
      </c>
      <c r="E30" s="79"/>
      <c r="F30" s="57"/>
      <c r="G30" s="124">
        <f>E30-((B9-1)*100)</f>
        <v>-4.9999999999994493E-2</v>
      </c>
      <c r="H30" s="124">
        <f>F30+C9</f>
        <v>0.81699999999999995</v>
      </c>
      <c r="I30" s="125">
        <f t="shared" si="7"/>
        <v>1.0004999999999999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0.81699999999999995</v>
      </c>
      <c r="R30" s="12">
        <f>IFERROR(VLOOKUP($A$9,C30:I30,7,0),IFERROR(VLOOKUP($A$12,C30:I30,7,0),IFERROR(VLOOKUP($A$14,C30:I30,7,0),0)))</f>
        <v>1.0004999999999999</v>
      </c>
    </row>
    <row r="31" spans="1:21" s="10" customFormat="1" ht="13.9" customHeight="1" x14ac:dyDescent="0.25">
      <c r="A31" s="163">
        <v>45957</v>
      </c>
      <c r="B31" s="151" t="s">
        <v>131</v>
      </c>
      <c r="C31" s="134" t="str">
        <f>A12</f>
        <v>4:1/100%</v>
      </c>
      <c r="D31" s="135">
        <v>5</v>
      </c>
      <c r="E31" s="79"/>
      <c r="F31" s="57"/>
      <c r="G31" s="124">
        <f>E31-((B12-1)*100)</f>
        <v>-4.1000000000002146E-2</v>
      </c>
      <c r="H31" s="124">
        <f>F31+C12</f>
        <v>0.7</v>
      </c>
      <c r="I31" s="125">
        <f>1-(G31/100)</f>
        <v>1.00041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</v>
      </c>
      <c r="R31" s="12">
        <f t="shared" ref="R31:R41" si="10">IFERROR(VLOOKUP($A$9,C31:I31,7,0),IFERROR(VLOOKUP($A$12,C31:I31,7,0),IFERROR(VLOOKUP($A$14,C31:I31,7,0),0)))</f>
        <v>1.00041</v>
      </c>
    </row>
    <row r="32" spans="1:21" s="10" customFormat="1" ht="13.9" customHeight="1" thickBot="1" x14ac:dyDescent="0.3">
      <c r="A32" s="165">
        <v>45957</v>
      </c>
      <c r="B32" s="166" t="s">
        <v>131</v>
      </c>
      <c r="C32" s="136" t="str">
        <f>A13</f>
        <v>4:1/120%</v>
      </c>
      <c r="D32" s="137">
        <v>5</v>
      </c>
      <c r="E32" s="119"/>
      <c r="F32" s="120"/>
      <c r="G32" s="126">
        <f>E32-((B13-1)*100)</f>
        <v>-4.0330000000010635E-2</v>
      </c>
      <c r="H32" s="126">
        <f>F32+C13</f>
        <v>0.69299999999999995</v>
      </c>
      <c r="I32" s="127">
        <f t="shared" ref="I32" si="11">1-(G32/100)</f>
        <v>1.0004033000000001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0.69299999999999995</v>
      </c>
      <c r="R32" s="141">
        <f>I32</f>
        <v>1.0004033000000001</v>
      </c>
    </row>
    <row r="33" spans="1:21" s="10" customFormat="1" ht="13.9" customHeight="1" thickTop="1" x14ac:dyDescent="0.25">
      <c r="A33" s="164">
        <v>45957</v>
      </c>
      <c r="B33" s="116" t="s">
        <v>132</v>
      </c>
      <c r="C33" s="138" t="str">
        <f>A6</f>
        <v>4:1/1%</v>
      </c>
      <c r="D33" s="138">
        <v>5</v>
      </c>
      <c r="E33" s="117"/>
      <c r="F33" s="118"/>
      <c r="G33" s="128">
        <f>E33-((B6-1)*100)</f>
        <v>-8.3330000000003679E-2</v>
      </c>
      <c r="H33" s="128">
        <f>F33+C6</f>
        <v>2.843</v>
      </c>
      <c r="I33" s="129">
        <f>1-(G33/100)</f>
        <v>1.0008333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2.843</v>
      </c>
      <c r="N33" s="12">
        <f t="shared" si="1"/>
        <v>1.0008333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132</v>
      </c>
      <c r="C34" s="135" t="str">
        <f>A7</f>
        <v>4:1/5%</v>
      </c>
      <c r="D34" s="135">
        <v>5</v>
      </c>
      <c r="E34" s="79"/>
      <c r="F34" s="57"/>
      <c r="G34" s="124">
        <f>E34-((B7-1)*100)</f>
        <v>-6.7330000000009882E-2</v>
      </c>
      <c r="H34" s="124">
        <f>F34+C7</f>
        <v>1.657</v>
      </c>
      <c r="I34" s="125">
        <f t="shared" ref="I34:I35" si="12">1-(G34/100)</f>
        <v>1.0006733000000001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1.657</v>
      </c>
      <c r="P34" s="12">
        <f t="shared" si="3"/>
        <v>1.0006733000000001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132</v>
      </c>
      <c r="C35" s="135" t="str">
        <f>A9</f>
        <v>4:1/20%</v>
      </c>
      <c r="D35" s="135">
        <v>5</v>
      </c>
      <c r="E35" s="79"/>
      <c r="F35" s="57"/>
      <c r="G35" s="124">
        <f>E35-((B9-1)*100)</f>
        <v>-4.9999999999994493E-2</v>
      </c>
      <c r="H35" s="124">
        <f>F35+C9</f>
        <v>0.81699999999999995</v>
      </c>
      <c r="I35" s="125">
        <f t="shared" si="12"/>
        <v>1.0004999999999999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0.81699999999999995</v>
      </c>
      <c r="R35" s="12">
        <f t="shared" si="10"/>
        <v>1.0004999999999999</v>
      </c>
    </row>
    <row r="36" spans="1:21" s="10" customFormat="1" ht="13.9" customHeight="1" x14ac:dyDescent="0.25">
      <c r="A36" s="163">
        <v>45957</v>
      </c>
      <c r="B36" s="151" t="s">
        <v>132</v>
      </c>
      <c r="C36" s="135" t="str">
        <f>A12</f>
        <v>4:1/100%</v>
      </c>
      <c r="D36" s="135">
        <v>5</v>
      </c>
      <c r="E36" s="79"/>
      <c r="F36" s="57"/>
      <c r="G36" s="124">
        <f>E36-((B12-1)*100)</f>
        <v>-4.1000000000002146E-2</v>
      </c>
      <c r="H36" s="124">
        <f>F36+C12</f>
        <v>0.7</v>
      </c>
      <c r="I36" s="125">
        <f>1-(G36/100)</f>
        <v>1.00041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</v>
      </c>
      <c r="R36" s="12">
        <f t="shared" si="10"/>
        <v>1.00041</v>
      </c>
    </row>
    <row r="37" spans="1:21" s="10" customFormat="1" ht="13.9" customHeight="1" thickBot="1" x14ac:dyDescent="0.3">
      <c r="A37" s="165">
        <v>45957</v>
      </c>
      <c r="B37" s="166" t="s">
        <v>132</v>
      </c>
      <c r="C37" s="137" t="str">
        <f>A13</f>
        <v>4:1/120%</v>
      </c>
      <c r="D37" s="137">
        <v>5</v>
      </c>
      <c r="E37" s="119"/>
      <c r="F37" s="120"/>
      <c r="G37" s="126">
        <f>E37-((B13-1)*100)</f>
        <v>-4.0330000000010635E-2</v>
      </c>
      <c r="H37" s="126">
        <f>F37+C13</f>
        <v>0.69299999999999995</v>
      </c>
      <c r="I37" s="127">
        <f t="shared" ref="I37" si="13">1-(G37/100)</f>
        <v>1.0004033000000001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0.69299999999999995</v>
      </c>
      <c r="R37" s="141">
        <f>I37</f>
        <v>1.0004033000000001</v>
      </c>
    </row>
    <row r="38" spans="1:21" s="10" customFormat="1" ht="13.9" customHeight="1" thickTop="1" x14ac:dyDescent="0.25">
      <c r="A38" s="164">
        <v>45957</v>
      </c>
      <c r="B38" s="116" t="s">
        <v>133</v>
      </c>
      <c r="C38" s="138" t="str">
        <f>A6</f>
        <v>4:1/1%</v>
      </c>
      <c r="D38" s="138">
        <v>5</v>
      </c>
      <c r="E38" s="117"/>
      <c r="F38" s="118"/>
      <c r="G38" s="128">
        <f>E38-((B6-1)*100)</f>
        <v>-8.3330000000003679E-2</v>
      </c>
      <c r="H38" s="128">
        <f>F38+C6</f>
        <v>2.843</v>
      </c>
      <c r="I38" s="129">
        <f>1-(G38/100)</f>
        <v>1.0008333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2.843</v>
      </c>
      <c r="N38" s="12">
        <f t="shared" si="1"/>
        <v>1.0008333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133</v>
      </c>
      <c r="C39" s="135" t="str">
        <f>A7</f>
        <v>4:1/5%</v>
      </c>
      <c r="D39" s="135">
        <v>5</v>
      </c>
      <c r="E39" s="79"/>
      <c r="F39" s="57"/>
      <c r="G39" s="124">
        <f>E39-((B7-1)*100)</f>
        <v>-6.7330000000009882E-2</v>
      </c>
      <c r="H39" s="124">
        <f>F39+C7</f>
        <v>1.657</v>
      </c>
      <c r="I39" s="125">
        <f t="shared" ref="I39:I40" si="14">1-(G39/100)</f>
        <v>1.0006733000000001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1.657</v>
      </c>
      <c r="P39" s="12">
        <f t="shared" si="3"/>
        <v>1.0006733000000001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133</v>
      </c>
      <c r="C40" s="135" t="str">
        <f>A9</f>
        <v>4:1/20%</v>
      </c>
      <c r="D40" s="135">
        <v>5</v>
      </c>
      <c r="E40" s="79"/>
      <c r="F40" s="57"/>
      <c r="G40" s="124">
        <f>E40-((B9-1)*100)</f>
        <v>-4.9999999999994493E-2</v>
      </c>
      <c r="H40" s="124">
        <f>F40+C9</f>
        <v>0.81699999999999995</v>
      </c>
      <c r="I40" s="125">
        <f t="shared" si="14"/>
        <v>1.0004999999999999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0.81699999999999995</v>
      </c>
      <c r="R40" s="12">
        <f t="shared" si="10"/>
        <v>1.0004999999999999</v>
      </c>
    </row>
    <row r="41" spans="1:21" s="10" customFormat="1" ht="13.9" customHeight="1" x14ac:dyDescent="0.25">
      <c r="A41" s="163">
        <v>45957</v>
      </c>
      <c r="B41" s="151" t="s">
        <v>133</v>
      </c>
      <c r="C41" s="135" t="str">
        <f>A12</f>
        <v>4:1/100%</v>
      </c>
      <c r="D41" s="135">
        <v>5</v>
      </c>
      <c r="E41" s="79"/>
      <c r="F41" s="57"/>
      <c r="G41" s="124">
        <f>E41-((B12-1)*100)</f>
        <v>-4.1000000000002146E-2</v>
      </c>
      <c r="H41" s="124">
        <f>F41+C12</f>
        <v>0.7</v>
      </c>
      <c r="I41" s="125">
        <f>1-(G41/100)</f>
        <v>1.00041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0.7</v>
      </c>
      <c r="R41" s="12">
        <f t="shared" si="10"/>
        <v>1.00041</v>
      </c>
    </row>
    <row r="42" spans="1:21" s="10" customFormat="1" ht="13.9" customHeight="1" thickBot="1" x14ac:dyDescent="0.3">
      <c r="A42" s="167">
        <v>45957</v>
      </c>
      <c r="B42" s="168" t="s">
        <v>133</v>
      </c>
      <c r="C42" s="139" t="str">
        <f>A13</f>
        <v>4:1/120%</v>
      </c>
      <c r="D42" s="139">
        <v>5</v>
      </c>
      <c r="E42" s="80"/>
      <c r="F42" s="78"/>
      <c r="G42" s="130">
        <f>E42-((B13-1)*100)</f>
        <v>-4.0330000000010635E-2</v>
      </c>
      <c r="H42" s="130">
        <f>F42+C13</f>
        <v>0.69299999999999995</v>
      </c>
      <c r="I42" s="131">
        <f t="shared" ref="I42" si="16">1-(G42/100)</f>
        <v>1.0004033000000001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0.69299999999999995</v>
      </c>
      <c r="R42" s="141">
        <f>I42</f>
        <v>1.0004033000000001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3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7164-D111-4E9A-B338-26FEFE47ACF3}">
  <dimension ref="A1:U43"/>
  <sheetViews>
    <sheetView showGridLines="0" view="pageBreakPreview" topLeftCell="A13" zoomScaleNormal="115" zoomScaleSheetLayoutView="100" workbookViewId="0">
      <selection activeCell="E28" sqref="E28:F42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97" t="s">
        <v>73</v>
      </c>
      <c r="B1" s="198"/>
      <c r="C1" s="198"/>
      <c r="D1" s="198"/>
      <c r="E1" s="198"/>
      <c r="F1" s="198"/>
      <c r="G1" s="198"/>
      <c r="H1" s="198"/>
      <c r="I1" s="199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127</v>
      </c>
      <c r="D3" s="153"/>
      <c r="I3" s="99"/>
    </row>
    <row r="4" spans="1:21" s="10" customFormat="1" ht="11.25" x14ac:dyDescent="0.25">
      <c r="A4" s="200" t="s">
        <v>40</v>
      </c>
      <c r="B4" s="201"/>
      <c r="C4" s="202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117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203" t="s">
        <v>88</v>
      </c>
      <c r="N6" s="203">
        <v>-1.5</v>
      </c>
      <c r="O6" s="203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118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204"/>
      <c r="N7" s="204"/>
      <c r="O7" s="204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119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120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208" t="s">
        <v>89</v>
      </c>
      <c r="N9" s="208">
        <v>-0.75</v>
      </c>
      <c r="O9" s="208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121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9"/>
      <c r="N10" s="209"/>
      <c r="O10" s="209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122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123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10" t="s">
        <v>90</v>
      </c>
      <c r="N12" s="210">
        <v>-0.5</v>
      </c>
      <c r="O12" s="210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124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11"/>
      <c r="N13" s="211"/>
      <c r="O13" s="211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125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205" t="s">
        <v>43</v>
      </c>
      <c r="B18" s="206"/>
      <c r="C18" s="207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29.8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188" t="s">
        <v>64</v>
      </c>
      <c r="B25" s="189"/>
      <c r="C25" s="189"/>
      <c r="D25" s="189"/>
      <c r="E25" s="189"/>
      <c r="F25" s="189"/>
      <c r="G25" s="189"/>
      <c r="H25" s="189"/>
      <c r="I25" s="190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91" t="s">
        <v>66</v>
      </c>
      <c r="B26" s="193" t="s">
        <v>84</v>
      </c>
      <c r="C26" s="58" t="s">
        <v>36</v>
      </c>
      <c r="D26" s="36" t="s">
        <v>35</v>
      </c>
      <c r="E26" s="193" t="s">
        <v>34</v>
      </c>
      <c r="F26" s="193"/>
      <c r="G26" s="193" t="s">
        <v>33</v>
      </c>
      <c r="H26" s="193"/>
      <c r="I26" s="195" t="s">
        <v>29</v>
      </c>
    </row>
    <row r="27" spans="1:21" s="10" customFormat="1" ht="13.5" thickBot="1" x14ac:dyDescent="0.3">
      <c r="A27" s="192"/>
      <c r="B27" s="194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196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134</v>
      </c>
      <c r="C28" s="132" t="str">
        <f>A6</f>
        <v>4:1/1%</v>
      </c>
      <c r="D28" s="133">
        <v>5</v>
      </c>
      <c r="E28" s="89"/>
      <c r="F28" s="90"/>
      <c r="G28" s="122">
        <f>E28-((B6-1)*100)</f>
        <v>-8.3330000000003679E-2</v>
      </c>
      <c r="H28" s="122">
        <f>F28+C6</f>
        <v>2.843</v>
      </c>
      <c r="I28" s="123">
        <f>1-(G28/100)</f>
        <v>1.0008333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2.843</v>
      </c>
      <c r="N28" s="12">
        <f t="shared" ref="N28:N42" si="1">IFERROR(VLOOKUP($A$6,C28:I28,7,0),0)</f>
        <v>1.0008333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134</v>
      </c>
      <c r="C29" s="134" t="str">
        <f t="shared" ref="C29" si="4">A7</f>
        <v>4:1/5%</v>
      </c>
      <c r="D29" s="135">
        <v>5</v>
      </c>
      <c r="E29" s="79"/>
      <c r="F29" s="57"/>
      <c r="G29" s="124">
        <f t="shared" ref="G29" si="5">E29-((B7-1)*100)</f>
        <v>-6.7330000000009882E-2</v>
      </c>
      <c r="H29" s="124">
        <f t="shared" ref="H29" si="6">F29+C7</f>
        <v>1.657</v>
      </c>
      <c r="I29" s="125">
        <f t="shared" ref="I29:I30" si="7">1-(G29/100)</f>
        <v>1.0006733000000001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1.657</v>
      </c>
      <c r="P29" s="12">
        <f t="shared" si="3"/>
        <v>1.0006733000000001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134</v>
      </c>
      <c r="C30" s="134" t="str">
        <f>A9</f>
        <v>4:1/20%</v>
      </c>
      <c r="D30" s="135">
        <v>5</v>
      </c>
      <c r="E30" s="79"/>
      <c r="F30" s="57"/>
      <c r="G30" s="124">
        <f>E30-((B9-1)*100)</f>
        <v>-4.9999999999994493E-2</v>
      </c>
      <c r="H30" s="124">
        <f>F30+C9</f>
        <v>0.81699999999999995</v>
      </c>
      <c r="I30" s="125">
        <f t="shared" si="7"/>
        <v>1.0004999999999999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0.81699999999999995</v>
      </c>
      <c r="R30" s="12">
        <f>IFERROR(VLOOKUP($A$9,C30:I30,7,0),IFERROR(VLOOKUP($A$12,C30:I30,7,0),IFERROR(VLOOKUP($A$14,C30:I30,7,0),0)))</f>
        <v>1.0004999999999999</v>
      </c>
    </row>
    <row r="31" spans="1:21" s="10" customFormat="1" ht="13.9" customHeight="1" x14ac:dyDescent="0.25">
      <c r="A31" s="163">
        <v>45957</v>
      </c>
      <c r="B31" s="151" t="s">
        <v>134</v>
      </c>
      <c r="C31" s="134" t="str">
        <f>A12</f>
        <v>4:1/100%</v>
      </c>
      <c r="D31" s="135">
        <v>5</v>
      </c>
      <c r="E31" s="79"/>
      <c r="F31" s="57"/>
      <c r="G31" s="124">
        <f>E31-((B12-1)*100)</f>
        <v>-4.1000000000002146E-2</v>
      </c>
      <c r="H31" s="124">
        <f>F31+C12</f>
        <v>0.7</v>
      </c>
      <c r="I31" s="125">
        <f>1-(G31/100)</f>
        <v>1.00041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</v>
      </c>
      <c r="R31" s="12">
        <f t="shared" ref="R31:R41" si="10">IFERROR(VLOOKUP($A$9,C31:I31,7,0),IFERROR(VLOOKUP($A$12,C31:I31,7,0),IFERROR(VLOOKUP($A$14,C31:I31,7,0),0)))</f>
        <v>1.00041</v>
      </c>
    </row>
    <row r="32" spans="1:21" s="10" customFormat="1" ht="13.9" customHeight="1" thickBot="1" x14ac:dyDescent="0.3">
      <c r="A32" s="165">
        <v>45957</v>
      </c>
      <c r="B32" s="166" t="s">
        <v>134</v>
      </c>
      <c r="C32" s="136" t="str">
        <f>A13</f>
        <v>4:1/120%</v>
      </c>
      <c r="D32" s="137">
        <v>5</v>
      </c>
      <c r="E32" s="119"/>
      <c r="F32" s="120"/>
      <c r="G32" s="126">
        <f>E32-((B13-1)*100)</f>
        <v>-4.0330000000010635E-2</v>
      </c>
      <c r="H32" s="126">
        <f>F32+C13</f>
        <v>0.69299999999999995</v>
      </c>
      <c r="I32" s="127">
        <f t="shared" ref="I32" si="11">1-(G32/100)</f>
        <v>1.0004033000000001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0.69299999999999995</v>
      </c>
      <c r="R32" s="141">
        <f>I32</f>
        <v>1.0004033000000001</v>
      </c>
    </row>
    <row r="33" spans="1:21" s="10" customFormat="1" ht="13.9" customHeight="1" thickTop="1" x14ac:dyDescent="0.25">
      <c r="A33" s="164">
        <v>45957</v>
      </c>
      <c r="B33" s="116" t="s">
        <v>135</v>
      </c>
      <c r="C33" s="138" t="str">
        <f>A6</f>
        <v>4:1/1%</v>
      </c>
      <c r="D33" s="138">
        <v>5</v>
      </c>
      <c r="E33" s="117"/>
      <c r="F33" s="118"/>
      <c r="G33" s="128">
        <f>E33-((B6-1)*100)</f>
        <v>-8.3330000000003679E-2</v>
      </c>
      <c r="H33" s="128">
        <f>F33+C6</f>
        <v>2.843</v>
      </c>
      <c r="I33" s="129">
        <f>1-(G33/100)</f>
        <v>1.0008333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2.843</v>
      </c>
      <c r="N33" s="12">
        <f t="shared" si="1"/>
        <v>1.0008333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126</v>
      </c>
      <c r="C34" s="135" t="str">
        <f>A7</f>
        <v>4:1/5%</v>
      </c>
      <c r="D34" s="135">
        <v>5</v>
      </c>
      <c r="E34" s="79"/>
      <c r="F34" s="57"/>
      <c r="G34" s="124">
        <f>E34-((B7-1)*100)</f>
        <v>-6.7330000000009882E-2</v>
      </c>
      <c r="H34" s="124">
        <f>F34+C7</f>
        <v>1.657</v>
      </c>
      <c r="I34" s="125">
        <f t="shared" ref="I34:I35" si="12">1-(G34/100)</f>
        <v>1.0006733000000001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1.657</v>
      </c>
      <c r="P34" s="12">
        <f t="shared" si="3"/>
        <v>1.0006733000000001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135</v>
      </c>
      <c r="C35" s="135" t="str">
        <f>A9</f>
        <v>4:1/20%</v>
      </c>
      <c r="D35" s="135">
        <v>5</v>
      </c>
      <c r="E35" s="79"/>
      <c r="F35" s="57"/>
      <c r="G35" s="124">
        <f>E35-((B9-1)*100)</f>
        <v>-4.9999999999994493E-2</v>
      </c>
      <c r="H35" s="124">
        <f>F35+C9</f>
        <v>0.81699999999999995</v>
      </c>
      <c r="I35" s="125">
        <f t="shared" si="12"/>
        <v>1.0004999999999999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0.81699999999999995</v>
      </c>
      <c r="R35" s="12">
        <f t="shared" si="10"/>
        <v>1.0004999999999999</v>
      </c>
    </row>
    <row r="36" spans="1:21" s="10" customFormat="1" ht="13.9" customHeight="1" x14ac:dyDescent="0.25">
      <c r="A36" s="163">
        <v>45957</v>
      </c>
      <c r="B36" s="151" t="s">
        <v>135</v>
      </c>
      <c r="C36" s="135" t="str">
        <f>A12</f>
        <v>4:1/100%</v>
      </c>
      <c r="D36" s="135">
        <v>5</v>
      </c>
      <c r="E36" s="79"/>
      <c r="F36" s="57"/>
      <c r="G36" s="124">
        <f>E36-((B12-1)*100)</f>
        <v>-4.1000000000002146E-2</v>
      </c>
      <c r="H36" s="124">
        <f>F36+C12</f>
        <v>0.7</v>
      </c>
      <c r="I36" s="125">
        <f>1-(G36/100)</f>
        <v>1.00041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</v>
      </c>
      <c r="R36" s="12">
        <f t="shared" si="10"/>
        <v>1.00041</v>
      </c>
    </row>
    <row r="37" spans="1:21" s="10" customFormat="1" ht="13.9" customHeight="1" thickBot="1" x14ac:dyDescent="0.3">
      <c r="A37" s="165">
        <v>45957</v>
      </c>
      <c r="B37" s="166" t="s">
        <v>135</v>
      </c>
      <c r="C37" s="137" t="str">
        <f>A13</f>
        <v>4:1/120%</v>
      </c>
      <c r="D37" s="137">
        <v>5</v>
      </c>
      <c r="E37" s="119"/>
      <c r="F37" s="120"/>
      <c r="G37" s="126">
        <f>E37-((B13-1)*100)</f>
        <v>-4.0330000000010635E-2</v>
      </c>
      <c r="H37" s="126">
        <f>F37+C13</f>
        <v>0.69299999999999995</v>
      </c>
      <c r="I37" s="127">
        <f t="shared" ref="I37" si="13">1-(G37/100)</f>
        <v>1.0004033000000001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0.69299999999999995</v>
      </c>
      <c r="R37" s="141">
        <f>I37</f>
        <v>1.0004033000000001</v>
      </c>
    </row>
    <row r="38" spans="1:21" s="10" customFormat="1" ht="13.9" customHeight="1" thickTop="1" x14ac:dyDescent="0.25">
      <c r="A38" s="164">
        <v>45957</v>
      </c>
      <c r="B38" s="116" t="s">
        <v>136</v>
      </c>
      <c r="C38" s="138" t="str">
        <f>A6</f>
        <v>4:1/1%</v>
      </c>
      <c r="D38" s="138">
        <v>5</v>
      </c>
      <c r="E38" s="117"/>
      <c r="F38" s="118"/>
      <c r="G38" s="128">
        <f>E38-((B6-1)*100)</f>
        <v>-8.3330000000003679E-2</v>
      </c>
      <c r="H38" s="128">
        <f>F38+C6</f>
        <v>2.843</v>
      </c>
      <c r="I38" s="129">
        <f>1-(G38/100)</f>
        <v>1.0008333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2.843</v>
      </c>
      <c r="N38" s="12">
        <f t="shared" si="1"/>
        <v>1.0008333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136</v>
      </c>
      <c r="C39" s="135" t="str">
        <f>A7</f>
        <v>4:1/5%</v>
      </c>
      <c r="D39" s="135">
        <v>5</v>
      </c>
      <c r="E39" s="79"/>
      <c r="F39" s="57"/>
      <c r="G39" s="124">
        <f>E39-((B7-1)*100)</f>
        <v>-6.7330000000009882E-2</v>
      </c>
      <c r="H39" s="124">
        <f>F39+C7</f>
        <v>1.657</v>
      </c>
      <c r="I39" s="125">
        <f t="shared" ref="I39:I40" si="14">1-(G39/100)</f>
        <v>1.0006733000000001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1.657</v>
      </c>
      <c r="P39" s="12">
        <f t="shared" si="3"/>
        <v>1.0006733000000001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136</v>
      </c>
      <c r="C40" s="135" t="str">
        <f>A9</f>
        <v>4:1/20%</v>
      </c>
      <c r="D40" s="135">
        <v>5</v>
      </c>
      <c r="E40" s="79"/>
      <c r="F40" s="57"/>
      <c r="G40" s="124">
        <f>E40-((B9-1)*100)</f>
        <v>-4.9999999999994493E-2</v>
      </c>
      <c r="H40" s="124">
        <f>F40+C9</f>
        <v>0.81699999999999995</v>
      </c>
      <c r="I40" s="125">
        <f t="shared" si="14"/>
        <v>1.0004999999999999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0.81699999999999995</v>
      </c>
      <c r="R40" s="12">
        <f t="shared" si="10"/>
        <v>1.0004999999999999</v>
      </c>
    </row>
    <row r="41" spans="1:21" s="10" customFormat="1" ht="13.9" customHeight="1" x14ac:dyDescent="0.25">
      <c r="A41" s="163">
        <v>45957</v>
      </c>
      <c r="B41" s="151" t="s">
        <v>136</v>
      </c>
      <c r="C41" s="135" t="str">
        <f>A12</f>
        <v>4:1/100%</v>
      </c>
      <c r="D41" s="135">
        <v>5</v>
      </c>
      <c r="E41" s="79"/>
      <c r="F41" s="57"/>
      <c r="G41" s="124">
        <f>E41-((B12-1)*100)</f>
        <v>-4.1000000000002146E-2</v>
      </c>
      <c r="H41" s="124">
        <f>F41+C12</f>
        <v>0.7</v>
      </c>
      <c r="I41" s="125">
        <f>1-(G41/100)</f>
        <v>1.00041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0.7</v>
      </c>
      <c r="R41" s="12">
        <f t="shared" si="10"/>
        <v>1.00041</v>
      </c>
    </row>
    <row r="42" spans="1:21" s="10" customFormat="1" ht="13.9" customHeight="1" thickBot="1" x14ac:dyDescent="0.3">
      <c r="A42" s="167">
        <v>45957</v>
      </c>
      <c r="B42" s="168" t="s">
        <v>136</v>
      </c>
      <c r="C42" s="139" t="str">
        <f>A13</f>
        <v>4:1/120%</v>
      </c>
      <c r="D42" s="139">
        <v>5</v>
      </c>
      <c r="E42" s="80"/>
      <c r="F42" s="78"/>
      <c r="G42" s="130">
        <f>E42-((B13-1)*100)</f>
        <v>-4.0330000000010635E-2</v>
      </c>
      <c r="H42" s="130">
        <f>F42+C13</f>
        <v>0.69299999999999995</v>
      </c>
      <c r="I42" s="131">
        <f t="shared" ref="I42" si="16">1-(G42/100)</f>
        <v>1.0004033000000001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0.69299999999999995</v>
      </c>
      <c r="R42" s="141">
        <f>I42</f>
        <v>1.0004033000000001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2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9ED-4E6A-4855-B290-76270DA94148}">
  <dimension ref="A1:U43"/>
  <sheetViews>
    <sheetView showGridLines="0" view="pageBreakPreview" topLeftCell="A13" zoomScaleNormal="115" zoomScaleSheetLayoutView="100" workbookViewId="0">
      <selection activeCell="E28" sqref="E28:F42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97" t="s">
        <v>73</v>
      </c>
      <c r="B1" s="198"/>
      <c r="C1" s="198"/>
      <c r="D1" s="198"/>
      <c r="E1" s="198"/>
      <c r="F1" s="198"/>
      <c r="G1" s="198"/>
      <c r="H1" s="198"/>
      <c r="I1" s="199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127</v>
      </c>
      <c r="D3" s="153"/>
      <c r="I3" s="99"/>
    </row>
    <row r="4" spans="1:21" s="10" customFormat="1" ht="11.25" x14ac:dyDescent="0.25">
      <c r="A4" s="200" t="s">
        <v>40</v>
      </c>
      <c r="B4" s="201"/>
      <c r="C4" s="202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117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203" t="s">
        <v>88</v>
      </c>
      <c r="N6" s="203">
        <v>-1.5</v>
      </c>
      <c r="O6" s="203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118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204"/>
      <c r="N7" s="204"/>
      <c r="O7" s="204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119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120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208" t="s">
        <v>89</v>
      </c>
      <c r="N9" s="208">
        <v>-0.75</v>
      </c>
      <c r="O9" s="208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121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9"/>
      <c r="N10" s="209"/>
      <c r="O10" s="209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122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123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10" t="s">
        <v>90</v>
      </c>
      <c r="N12" s="210">
        <v>-0.5</v>
      </c>
      <c r="O12" s="210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124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11"/>
      <c r="N13" s="211"/>
      <c r="O13" s="211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125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205" t="s">
        <v>43</v>
      </c>
      <c r="B18" s="206"/>
      <c r="C18" s="207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29.8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188" t="s">
        <v>64</v>
      </c>
      <c r="B25" s="189"/>
      <c r="C25" s="189"/>
      <c r="D25" s="189"/>
      <c r="E25" s="189"/>
      <c r="F25" s="189"/>
      <c r="G25" s="189"/>
      <c r="H25" s="189"/>
      <c r="I25" s="190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91" t="s">
        <v>66</v>
      </c>
      <c r="B26" s="193" t="s">
        <v>84</v>
      </c>
      <c r="C26" s="58" t="s">
        <v>36</v>
      </c>
      <c r="D26" s="36" t="s">
        <v>35</v>
      </c>
      <c r="E26" s="193" t="s">
        <v>34</v>
      </c>
      <c r="F26" s="193"/>
      <c r="G26" s="193" t="s">
        <v>33</v>
      </c>
      <c r="H26" s="193"/>
      <c r="I26" s="195" t="s">
        <v>29</v>
      </c>
    </row>
    <row r="27" spans="1:21" s="10" customFormat="1" ht="13.5" thickBot="1" x14ac:dyDescent="0.3">
      <c r="A27" s="192"/>
      <c r="B27" s="194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196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137</v>
      </c>
      <c r="C28" s="132" t="str">
        <f>A6</f>
        <v>4:1/1%</v>
      </c>
      <c r="D28" s="133">
        <v>5</v>
      </c>
      <c r="E28" s="89"/>
      <c r="F28" s="90"/>
      <c r="G28" s="122">
        <f>E28-((B6-1)*100)</f>
        <v>-8.3330000000003679E-2</v>
      </c>
      <c r="H28" s="122">
        <f>F28+C6</f>
        <v>2.843</v>
      </c>
      <c r="I28" s="123">
        <f>1-(G28/100)</f>
        <v>1.0008333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2.843</v>
      </c>
      <c r="N28" s="12">
        <f t="shared" ref="N28:N42" si="1">IFERROR(VLOOKUP($A$6,C28:I28,7,0),0)</f>
        <v>1.0008333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137</v>
      </c>
      <c r="C29" s="134" t="str">
        <f t="shared" ref="C29" si="4">A7</f>
        <v>4:1/5%</v>
      </c>
      <c r="D29" s="135">
        <v>5</v>
      </c>
      <c r="E29" s="79"/>
      <c r="F29" s="57"/>
      <c r="G29" s="124">
        <f t="shared" ref="G29" si="5">E29-((B7-1)*100)</f>
        <v>-6.7330000000009882E-2</v>
      </c>
      <c r="H29" s="124">
        <f t="shared" ref="H29" si="6">F29+C7</f>
        <v>1.657</v>
      </c>
      <c r="I29" s="125">
        <f t="shared" ref="I29:I30" si="7">1-(G29/100)</f>
        <v>1.0006733000000001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1.657</v>
      </c>
      <c r="P29" s="12">
        <f t="shared" si="3"/>
        <v>1.0006733000000001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137</v>
      </c>
      <c r="C30" s="134" t="str">
        <f>A9</f>
        <v>4:1/20%</v>
      </c>
      <c r="D30" s="135">
        <v>5</v>
      </c>
      <c r="E30" s="79"/>
      <c r="F30" s="57"/>
      <c r="G30" s="124">
        <f>E30-((B9-1)*100)</f>
        <v>-4.9999999999994493E-2</v>
      </c>
      <c r="H30" s="124">
        <f>F30+C9</f>
        <v>0.81699999999999995</v>
      </c>
      <c r="I30" s="125">
        <f t="shared" si="7"/>
        <v>1.0004999999999999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0.81699999999999995</v>
      </c>
      <c r="R30" s="12">
        <f>IFERROR(VLOOKUP($A$9,C30:I30,7,0),IFERROR(VLOOKUP($A$12,C30:I30,7,0),IFERROR(VLOOKUP($A$14,C30:I30,7,0),0)))</f>
        <v>1.0004999999999999</v>
      </c>
    </row>
    <row r="31" spans="1:21" s="10" customFormat="1" ht="13.9" customHeight="1" x14ac:dyDescent="0.25">
      <c r="A31" s="163">
        <v>45957</v>
      </c>
      <c r="B31" s="151" t="s">
        <v>137</v>
      </c>
      <c r="C31" s="134" t="str">
        <f>A12</f>
        <v>4:1/100%</v>
      </c>
      <c r="D31" s="135">
        <v>5</v>
      </c>
      <c r="E31" s="79"/>
      <c r="F31" s="57"/>
      <c r="G31" s="124">
        <f>E31-((B12-1)*100)</f>
        <v>-4.1000000000002146E-2</v>
      </c>
      <c r="H31" s="124">
        <f>F31+C12</f>
        <v>0.7</v>
      </c>
      <c r="I31" s="125">
        <f>1-(G31/100)</f>
        <v>1.00041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</v>
      </c>
      <c r="R31" s="12">
        <f t="shared" ref="R31:R41" si="10">IFERROR(VLOOKUP($A$9,C31:I31,7,0),IFERROR(VLOOKUP($A$12,C31:I31,7,0),IFERROR(VLOOKUP($A$14,C31:I31,7,0),0)))</f>
        <v>1.00041</v>
      </c>
    </row>
    <row r="32" spans="1:21" s="10" customFormat="1" ht="13.9" customHeight="1" thickBot="1" x14ac:dyDescent="0.3">
      <c r="A32" s="165">
        <v>45957</v>
      </c>
      <c r="B32" s="166" t="s">
        <v>137</v>
      </c>
      <c r="C32" s="136" t="str">
        <f>A13</f>
        <v>4:1/120%</v>
      </c>
      <c r="D32" s="137">
        <v>5</v>
      </c>
      <c r="E32" s="119"/>
      <c r="F32" s="120"/>
      <c r="G32" s="126">
        <f>E32-((B13-1)*100)</f>
        <v>-4.0330000000010635E-2</v>
      </c>
      <c r="H32" s="126">
        <f>F32+C13</f>
        <v>0.69299999999999995</v>
      </c>
      <c r="I32" s="127">
        <f t="shared" ref="I32" si="11">1-(G32/100)</f>
        <v>1.0004033000000001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0.69299999999999995</v>
      </c>
      <c r="R32" s="141">
        <f>I32</f>
        <v>1.0004033000000001</v>
      </c>
    </row>
    <row r="33" spans="1:21" s="10" customFormat="1" ht="13.9" customHeight="1" thickTop="1" x14ac:dyDescent="0.25">
      <c r="A33" s="164">
        <v>45957</v>
      </c>
      <c r="B33" s="116" t="s">
        <v>138</v>
      </c>
      <c r="C33" s="138" t="str">
        <f>A6</f>
        <v>4:1/1%</v>
      </c>
      <c r="D33" s="138">
        <v>5</v>
      </c>
      <c r="E33" s="117"/>
      <c r="F33" s="118"/>
      <c r="G33" s="128">
        <f>E33-((B6-1)*100)</f>
        <v>-8.3330000000003679E-2</v>
      </c>
      <c r="H33" s="128">
        <f>F33+C6</f>
        <v>2.843</v>
      </c>
      <c r="I33" s="129">
        <f>1-(G33/100)</f>
        <v>1.0008333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2.843</v>
      </c>
      <c r="N33" s="12">
        <f t="shared" si="1"/>
        <v>1.0008333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138</v>
      </c>
      <c r="C34" s="135" t="str">
        <f>A7</f>
        <v>4:1/5%</v>
      </c>
      <c r="D34" s="135">
        <v>5</v>
      </c>
      <c r="E34" s="79"/>
      <c r="F34" s="57"/>
      <c r="G34" s="124">
        <f>E34-((B7-1)*100)</f>
        <v>-6.7330000000009882E-2</v>
      </c>
      <c r="H34" s="124">
        <f>F34+C7</f>
        <v>1.657</v>
      </c>
      <c r="I34" s="125">
        <f t="shared" ref="I34:I35" si="12">1-(G34/100)</f>
        <v>1.0006733000000001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1.657</v>
      </c>
      <c r="P34" s="12">
        <f t="shared" si="3"/>
        <v>1.0006733000000001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138</v>
      </c>
      <c r="C35" s="135" t="str">
        <f>A9</f>
        <v>4:1/20%</v>
      </c>
      <c r="D35" s="135">
        <v>5</v>
      </c>
      <c r="E35" s="79"/>
      <c r="F35" s="57"/>
      <c r="G35" s="124">
        <f>E35-((B9-1)*100)</f>
        <v>-4.9999999999994493E-2</v>
      </c>
      <c r="H35" s="124">
        <f>F35+C9</f>
        <v>0.81699999999999995</v>
      </c>
      <c r="I35" s="125">
        <f t="shared" si="12"/>
        <v>1.0004999999999999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0.81699999999999995</v>
      </c>
      <c r="R35" s="12">
        <f t="shared" si="10"/>
        <v>1.0004999999999999</v>
      </c>
    </row>
    <row r="36" spans="1:21" s="10" customFormat="1" ht="13.9" customHeight="1" x14ac:dyDescent="0.25">
      <c r="A36" s="163">
        <v>45957</v>
      </c>
      <c r="B36" s="151" t="s">
        <v>138</v>
      </c>
      <c r="C36" s="135" t="str">
        <f>A12</f>
        <v>4:1/100%</v>
      </c>
      <c r="D36" s="135">
        <v>5</v>
      </c>
      <c r="E36" s="79"/>
      <c r="F36" s="57"/>
      <c r="G36" s="124">
        <f>E36-((B12-1)*100)</f>
        <v>-4.1000000000002146E-2</v>
      </c>
      <c r="H36" s="124">
        <f>F36+C12</f>
        <v>0.7</v>
      </c>
      <c r="I36" s="125">
        <f>1-(G36/100)</f>
        <v>1.00041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</v>
      </c>
      <c r="R36" s="12">
        <f t="shared" si="10"/>
        <v>1.00041</v>
      </c>
    </row>
    <row r="37" spans="1:21" s="10" customFormat="1" ht="13.9" customHeight="1" thickBot="1" x14ac:dyDescent="0.3">
      <c r="A37" s="165">
        <v>45957</v>
      </c>
      <c r="B37" s="166" t="s">
        <v>138</v>
      </c>
      <c r="C37" s="137" t="str">
        <f>A13</f>
        <v>4:1/120%</v>
      </c>
      <c r="D37" s="137">
        <v>5</v>
      </c>
      <c r="E37" s="119"/>
      <c r="F37" s="120"/>
      <c r="G37" s="126">
        <f>E37-((B13-1)*100)</f>
        <v>-4.0330000000010635E-2</v>
      </c>
      <c r="H37" s="126">
        <f>F37+C13</f>
        <v>0.69299999999999995</v>
      </c>
      <c r="I37" s="127">
        <f t="shared" ref="I37" si="13">1-(G37/100)</f>
        <v>1.0004033000000001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0.69299999999999995</v>
      </c>
      <c r="R37" s="141">
        <f>I37</f>
        <v>1.0004033000000001</v>
      </c>
    </row>
    <row r="38" spans="1:21" s="10" customFormat="1" ht="13.9" customHeight="1" thickTop="1" x14ac:dyDescent="0.25">
      <c r="A38" s="164">
        <v>45957</v>
      </c>
      <c r="B38" s="116" t="s">
        <v>139</v>
      </c>
      <c r="C38" s="138" t="str">
        <f>A6</f>
        <v>4:1/1%</v>
      </c>
      <c r="D38" s="138">
        <v>5</v>
      </c>
      <c r="E38" s="117"/>
      <c r="F38" s="118"/>
      <c r="G38" s="128">
        <f>E38-((B6-1)*100)</f>
        <v>-8.3330000000003679E-2</v>
      </c>
      <c r="H38" s="128">
        <f>F38+C6</f>
        <v>2.843</v>
      </c>
      <c r="I38" s="129">
        <f>1-(G38/100)</f>
        <v>1.0008333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2.843</v>
      </c>
      <c r="N38" s="12">
        <f t="shared" si="1"/>
        <v>1.0008333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139</v>
      </c>
      <c r="C39" s="135" t="str">
        <f>A7</f>
        <v>4:1/5%</v>
      </c>
      <c r="D39" s="135">
        <v>5</v>
      </c>
      <c r="E39" s="79"/>
      <c r="F39" s="57"/>
      <c r="G39" s="124">
        <f>E39-((B7-1)*100)</f>
        <v>-6.7330000000009882E-2</v>
      </c>
      <c r="H39" s="124">
        <f>F39+C7</f>
        <v>1.657</v>
      </c>
      <c r="I39" s="125">
        <f t="shared" ref="I39:I40" si="14">1-(G39/100)</f>
        <v>1.0006733000000001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1.657</v>
      </c>
      <c r="P39" s="12">
        <f t="shared" si="3"/>
        <v>1.0006733000000001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139</v>
      </c>
      <c r="C40" s="135" t="str">
        <f>A9</f>
        <v>4:1/20%</v>
      </c>
      <c r="D40" s="135">
        <v>5</v>
      </c>
      <c r="E40" s="79"/>
      <c r="F40" s="57"/>
      <c r="G40" s="124">
        <f>E40-((B9-1)*100)</f>
        <v>-4.9999999999994493E-2</v>
      </c>
      <c r="H40" s="124">
        <f>F40+C9</f>
        <v>0.81699999999999995</v>
      </c>
      <c r="I40" s="125">
        <f t="shared" si="14"/>
        <v>1.0004999999999999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0.81699999999999995</v>
      </c>
      <c r="R40" s="12">
        <f t="shared" si="10"/>
        <v>1.0004999999999999</v>
      </c>
    </row>
    <row r="41" spans="1:21" s="10" customFormat="1" ht="13.9" customHeight="1" x14ac:dyDescent="0.25">
      <c r="A41" s="163">
        <v>45957</v>
      </c>
      <c r="B41" s="151" t="s">
        <v>139</v>
      </c>
      <c r="C41" s="135" t="str">
        <f>A12</f>
        <v>4:1/100%</v>
      </c>
      <c r="D41" s="135">
        <v>5</v>
      </c>
      <c r="E41" s="79"/>
      <c r="F41" s="57"/>
      <c r="G41" s="124">
        <f>E41-((B12-1)*100)</f>
        <v>-4.1000000000002146E-2</v>
      </c>
      <c r="H41" s="124">
        <f>F41+C12</f>
        <v>0.7</v>
      </c>
      <c r="I41" s="125">
        <f>1-(G41/100)</f>
        <v>1.00041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0.7</v>
      </c>
      <c r="R41" s="12">
        <f t="shared" si="10"/>
        <v>1.00041</v>
      </c>
    </row>
    <row r="42" spans="1:21" s="10" customFormat="1" ht="13.9" customHeight="1" thickBot="1" x14ac:dyDescent="0.3">
      <c r="A42" s="167">
        <v>45957</v>
      </c>
      <c r="B42" s="168" t="s">
        <v>139</v>
      </c>
      <c r="C42" s="139" t="str">
        <f>A13</f>
        <v>4:1/120%</v>
      </c>
      <c r="D42" s="139">
        <v>5</v>
      </c>
      <c r="E42" s="80"/>
      <c r="F42" s="78"/>
      <c r="G42" s="130">
        <f>E42-((B13-1)*100)</f>
        <v>-4.0330000000010635E-2</v>
      </c>
      <c r="H42" s="130">
        <f>F42+C13</f>
        <v>0.69299999999999995</v>
      </c>
      <c r="I42" s="131">
        <f t="shared" ref="I42" si="16">1-(G42/100)</f>
        <v>1.0004033000000001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0.69299999999999995</v>
      </c>
      <c r="R42" s="141">
        <f>I42</f>
        <v>1.0004033000000001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F748-719F-4284-A4C6-F65FE9A0FE39}">
  <dimension ref="A1:U43"/>
  <sheetViews>
    <sheetView showGridLines="0" view="pageBreakPreview" topLeftCell="A9" zoomScale="90" zoomScaleNormal="115" zoomScaleSheetLayoutView="90" workbookViewId="0">
      <selection activeCell="E28" sqref="E28:F42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97" t="s">
        <v>73</v>
      </c>
      <c r="B1" s="198"/>
      <c r="C1" s="198"/>
      <c r="D1" s="198"/>
      <c r="E1" s="198"/>
      <c r="F1" s="198"/>
      <c r="G1" s="198"/>
      <c r="H1" s="198"/>
      <c r="I1" s="199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127</v>
      </c>
      <c r="D3" s="153"/>
      <c r="I3" s="99"/>
    </row>
    <row r="4" spans="1:21" s="10" customFormat="1" ht="11.25" x14ac:dyDescent="0.25">
      <c r="A4" s="200" t="s">
        <v>40</v>
      </c>
      <c r="B4" s="201"/>
      <c r="C4" s="202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117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203" t="s">
        <v>88</v>
      </c>
      <c r="N6" s="203">
        <v>-1.5</v>
      </c>
      <c r="O6" s="203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118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204"/>
      <c r="N7" s="204"/>
      <c r="O7" s="204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119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120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208" t="s">
        <v>89</v>
      </c>
      <c r="N9" s="208">
        <v>-0.75</v>
      </c>
      <c r="O9" s="208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121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9"/>
      <c r="N10" s="209"/>
      <c r="O10" s="209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122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123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10" t="s">
        <v>90</v>
      </c>
      <c r="N12" s="210">
        <v>-0.5</v>
      </c>
      <c r="O12" s="210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124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11"/>
      <c r="N13" s="211"/>
      <c r="O13" s="211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125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205" t="s">
        <v>43</v>
      </c>
      <c r="B18" s="206"/>
      <c r="C18" s="207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29.4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188" t="s">
        <v>64</v>
      </c>
      <c r="B25" s="189"/>
      <c r="C25" s="189"/>
      <c r="D25" s="189"/>
      <c r="E25" s="189"/>
      <c r="F25" s="189"/>
      <c r="G25" s="189"/>
      <c r="H25" s="189"/>
      <c r="I25" s="190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91" t="s">
        <v>66</v>
      </c>
      <c r="B26" s="193" t="s">
        <v>84</v>
      </c>
      <c r="C26" s="58" t="s">
        <v>36</v>
      </c>
      <c r="D26" s="36" t="s">
        <v>35</v>
      </c>
      <c r="E26" s="193" t="s">
        <v>34</v>
      </c>
      <c r="F26" s="193"/>
      <c r="G26" s="193" t="s">
        <v>33</v>
      </c>
      <c r="H26" s="193"/>
      <c r="I26" s="195" t="s">
        <v>29</v>
      </c>
    </row>
    <row r="27" spans="1:21" s="10" customFormat="1" ht="13.5" thickBot="1" x14ac:dyDescent="0.3">
      <c r="A27" s="192"/>
      <c r="B27" s="194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196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140</v>
      </c>
      <c r="C28" s="132" t="str">
        <f>A6</f>
        <v>4:1/1%</v>
      </c>
      <c r="D28" s="133">
        <v>5</v>
      </c>
      <c r="E28" s="89"/>
      <c r="F28" s="90"/>
      <c r="G28" s="122">
        <f>E28-((B6-1)*100)</f>
        <v>-8.3330000000003679E-2</v>
      </c>
      <c r="H28" s="122">
        <f>F28+C6</f>
        <v>2.843</v>
      </c>
      <c r="I28" s="123">
        <f>1-(G28/100)</f>
        <v>1.0008333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2.843</v>
      </c>
      <c r="N28" s="12">
        <f t="shared" ref="N28:N42" si="1">IFERROR(VLOOKUP($A$6,C28:I28,7,0),0)</f>
        <v>1.0008333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140</v>
      </c>
      <c r="C29" s="134" t="str">
        <f t="shared" ref="C29" si="4">A7</f>
        <v>4:1/5%</v>
      </c>
      <c r="D29" s="135">
        <v>5</v>
      </c>
      <c r="E29" s="79"/>
      <c r="F29" s="57"/>
      <c r="G29" s="124">
        <f t="shared" ref="G29" si="5">E29-((B7-1)*100)</f>
        <v>-6.7330000000009882E-2</v>
      </c>
      <c r="H29" s="124">
        <f t="shared" ref="H29" si="6">F29+C7</f>
        <v>1.657</v>
      </c>
      <c r="I29" s="125">
        <f t="shared" ref="I29:I30" si="7">1-(G29/100)</f>
        <v>1.0006733000000001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1.657</v>
      </c>
      <c r="P29" s="12">
        <f t="shared" si="3"/>
        <v>1.0006733000000001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140</v>
      </c>
      <c r="C30" s="134" t="str">
        <f>A9</f>
        <v>4:1/20%</v>
      </c>
      <c r="D30" s="135">
        <v>5</v>
      </c>
      <c r="E30" s="79"/>
      <c r="F30" s="57"/>
      <c r="G30" s="124">
        <f>E30-((B9-1)*100)</f>
        <v>-4.9999999999994493E-2</v>
      </c>
      <c r="H30" s="124">
        <f>F30+C9</f>
        <v>0.81699999999999995</v>
      </c>
      <c r="I30" s="125">
        <f t="shared" si="7"/>
        <v>1.0004999999999999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0.81699999999999995</v>
      </c>
      <c r="R30" s="12">
        <f>IFERROR(VLOOKUP($A$9,C30:I30,7,0),IFERROR(VLOOKUP($A$12,C30:I30,7,0),IFERROR(VLOOKUP($A$14,C30:I30,7,0),0)))</f>
        <v>1.0004999999999999</v>
      </c>
    </row>
    <row r="31" spans="1:21" s="10" customFormat="1" ht="13.9" customHeight="1" x14ac:dyDescent="0.25">
      <c r="A31" s="163">
        <v>45957</v>
      </c>
      <c r="B31" s="151" t="s">
        <v>140</v>
      </c>
      <c r="C31" s="134" t="str">
        <f>A12</f>
        <v>4:1/100%</v>
      </c>
      <c r="D31" s="135">
        <v>5</v>
      </c>
      <c r="E31" s="79"/>
      <c r="F31" s="57"/>
      <c r="G31" s="124">
        <f>E31-((B12-1)*100)</f>
        <v>-4.1000000000002146E-2</v>
      </c>
      <c r="H31" s="124">
        <f>F31+C12</f>
        <v>0.7</v>
      </c>
      <c r="I31" s="125">
        <f>1-(G31/100)</f>
        <v>1.00041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</v>
      </c>
      <c r="R31" s="12">
        <f t="shared" ref="R31:R41" si="10">IFERROR(VLOOKUP($A$9,C31:I31,7,0),IFERROR(VLOOKUP($A$12,C31:I31,7,0),IFERROR(VLOOKUP($A$14,C31:I31,7,0),0)))</f>
        <v>1.00041</v>
      </c>
    </row>
    <row r="32" spans="1:21" s="10" customFormat="1" ht="13.9" customHeight="1" thickBot="1" x14ac:dyDescent="0.3">
      <c r="A32" s="165">
        <v>45957</v>
      </c>
      <c r="B32" s="166" t="s">
        <v>140</v>
      </c>
      <c r="C32" s="136" t="str">
        <f>A13</f>
        <v>4:1/120%</v>
      </c>
      <c r="D32" s="137">
        <v>5</v>
      </c>
      <c r="E32" s="119"/>
      <c r="F32" s="120"/>
      <c r="G32" s="126">
        <f>E32-((B13-1)*100)</f>
        <v>-4.0330000000010635E-2</v>
      </c>
      <c r="H32" s="126">
        <f>F32+C13</f>
        <v>0.69299999999999995</v>
      </c>
      <c r="I32" s="127">
        <f t="shared" ref="I32" si="11">1-(G32/100)</f>
        <v>1.0004033000000001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0.69299999999999995</v>
      </c>
      <c r="R32" s="141">
        <f>I32</f>
        <v>1.0004033000000001</v>
      </c>
    </row>
    <row r="33" spans="1:21" s="10" customFormat="1" ht="13.9" customHeight="1" thickTop="1" x14ac:dyDescent="0.25">
      <c r="A33" s="164">
        <v>45957</v>
      </c>
      <c r="B33" s="116" t="s">
        <v>141</v>
      </c>
      <c r="C33" s="138" t="str">
        <f>A6</f>
        <v>4:1/1%</v>
      </c>
      <c r="D33" s="138">
        <v>5</v>
      </c>
      <c r="E33" s="117"/>
      <c r="F33" s="118"/>
      <c r="G33" s="128">
        <f>E33-((B6-1)*100)</f>
        <v>-8.3330000000003679E-2</v>
      </c>
      <c r="H33" s="128">
        <f>F33+C6</f>
        <v>2.843</v>
      </c>
      <c r="I33" s="129">
        <f>1-(G33/100)</f>
        <v>1.0008333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2.843</v>
      </c>
      <c r="N33" s="12">
        <f t="shared" si="1"/>
        <v>1.0008333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141</v>
      </c>
      <c r="C34" s="135" t="str">
        <f>A7</f>
        <v>4:1/5%</v>
      </c>
      <c r="D34" s="135">
        <v>5</v>
      </c>
      <c r="E34" s="79"/>
      <c r="F34" s="57"/>
      <c r="G34" s="124">
        <f>E34-((B7-1)*100)</f>
        <v>-6.7330000000009882E-2</v>
      </c>
      <c r="H34" s="124">
        <f>F34+C7</f>
        <v>1.657</v>
      </c>
      <c r="I34" s="125">
        <f t="shared" ref="I34:I35" si="12">1-(G34/100)</f>
        <v>1.0006733000000001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1.657</v>
      </c>
      <c r="P34" s="12">
        <f t="shared" si="3"/>
        <v>1.0006733000000001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141</v>
      </c>
      <c r="C35" s="135" t="str">
        <f>A9</f>
        <v>4:1/20%</v>
      </c>
      <c r="D35" s="135">
        <v>5</v>
      </c>
      <c r="E35" s="79"/>
      <c r="F35" s="57"/>
      <c r="G35" s="124">
        <f>E35-((B9-1)*100)</f>
        <v>-4.9999999999994493E-2</v>
      </c>
      <c r="H35" s="124">
        <f>F35+C9</f>
        <v>0.81699999999999995</v>
      </c>
      <c r="I35" s="125">
        <f t="shared" si="12"/>
        <v>1.0004999999999999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0.81699999999999995</v>
      </c>
      <c r="R35" s="12">
        <f t="shared" si="10"/>
        <v>1.0004999999999999</v>
      </c>
    </row>
    <row r="36" spans="1:21" s="10" customFormat="1" ht="13.9" customHeight="1" x14ac:dyDescent="0.25">
      <c r="A36" s="163">
        <v>45957</v>
      </c>
      <c r="B36" s="151" t="s">
        <v>141</v>
      </c>
      <c r="C36" s="135" t="str">
        <f>A12</f>
        <v>4:1/100%</v>
      </c>
      <c r="D36" s="135">
        <v>5</v>
      </c>
      <c r="E36" s="79"/>
      <c r="F36" s="57"/>
      <c r="G36" s="124">
        <f>E36-((B12-1)*100)</f>
        <v>-4.1000000000002146E-2</v>
      </c>
      <c r="H36" s="124">
        <f>F36+C12</f>
        <v>0.7</v>
      </c>
      <c r="I36" s="125">
        <f>1-(G36/100)</f>
        <v>1.00041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</v>
      </c>
      <c r="R36" s="12">
        <f t="shared" si="10"/>
        <v>1.00041</v>
      </c>
    </row>
    <row r="37" spans="1:21" s="10" customFormat="1" ht="13.9" customHeight="1" thickBot="1" x14ac:dyDescent="0.3">
      <c r="A37" s="165">
        <v>45957</v>
      </c>
      <c r="B37" s="166" t="s">
        <v>141</v>
      </c>
      <c r="C37" s="137" t="str">
        <f>A13</f>
        <v>4:1/120%</v>
      </c>
      <c r="D37" s="137">
        <v>5</v>
      </c>
      <c r="E37" s="119"/>
      <c r="F37" s="120"/>
      <c r="G37" s="126">
        <f>E37-((B13-1)*100)</f>
        <v>-4.0330000000010635E-2</v>
      </c>
      <c r="H37" s="126">
        <f>F37+C13</f>
        <v>0.69299999999999995</v>
      </c>
      <c r="I37" s="127">
        <f t="shared" ref="I37" si="13">1-(G37/100)</f>
        <v>1.0004033000000001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0.69299999999999995</v>
      </c>
      <c r="R37" s="141">
        <f>I37</f>
        <v>1.0004033000000001</v>
      </c>
    </row>
    <row r="38" spans="1:21" s="10" customFormat="1" ht="13.9" customHeight="1" thickTop="1" x14ac:dyDescent="0.25">
      <c r="A38" s="164">
        <v>45957</v>
      </c>
      <c r="B38" s="116" t="s">
        <v>142</v>
      </c>
      <c r="C38" s="138" t="str">
        <f>A6</f>
        <v>4:1/1%</v>
      </c>
      <c r="D38" s="138">
        <v>5</v>
      </c>
      <c r="E38" s="89"/>
      <c r="F38" s="90"/>
      <c r="G38" s="128">
        <f>E38-((B6-1)*100)</f>
        <v>-8.3330000000003679E-2</v>
      </c>
      <c r="H38" s="128">
        <f>F38+C6</f>
        <v>2.843</v>
      </c>
      <c r="I38" s="129">
        <f>1-(G38/100)</f>
        <v>1.0008333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2.843</v>
      </c>
      <c r="N38" s="12">
        <f t="shared" si="1"/>
        <v>1.0008333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142</v>
      </c>
      <c r="C39" s="135" t="str">
        <f>A7</f>
        <v>4:1/5%</v>
      </c>
      <c r="D39" s="135">
        <v>5</v>
      </c>
      <c r="E39" s="79"/>
      <c r="F39" s="57"/>
      <c r="G39" s="124">
        <f>E39-((B7-1)*100)</f>
        <v>-6.7330000000009882E-2</v>
      </c>
      <c r="H39" s="124">
        <f>F39+C7</f>
        <v>1.657</v>
      </c>
      <c r="I39" s="125">
        <f t="shared" ref="I39:I40" si="14">1-(G39/100)</f>
        <v>1.0006733000000001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1.657</v>
      </c>
      <c r="P39" s="12">
        <f t="shared" si="3"/>
        <v>1.0006733000000001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142</v>
      </c>
      <c r="C40" s="135" t="str">
        <f>A9</f>
        <v>4:1/20%</v>
      </c>
      <c r="D40" s="135">
        <v>5</v>
      </c>
      <c r="E40" s="79"/>
      <c r="F40" s="57"/>
      <c r="G40" s="124">
        <f>E40-((B9-1)*100)</f>
        <v>-4.9999999999994493E-2</v>
      </c>
      <c r="H40" s="124">
        <f>F40+C9</f>
        <v>0.81699999999999995</v>
      </c>
      <c r="I40" s="125">
        <f t="shared" si="14"/>
        <v>1.0004999999999999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0.81699999999999995</v>
      </c>
      <c r="R40" s="12">
        <f t="shared" si="10"/>
        <v>1.0004999999999999</v>
      </c>
    </row>
    <row r="41" spans="1:21" s="10" customFormat="1" ht="13.9" customHeight="1" x14ac:dyDescent="0.25">
      <c r="A41" s="163">
        <v>45957</v>
      </c>
      <c r="B41" s="151" t="s">
        <v>142</v>
      </c>
      <c r="C41" s="135" t="str">
        <f>A12</f>
        <v>4:1/100%</v>
      </c>
      <c r="D41" s="135">
        <v>5</v>
      </c>
      <c r="E41" s="79"/>
      <c r="F41" s="57"/>
      <c r="G41" s="124">
        <f>E41-((B12-1)*100)</f>
        <v>-4.1000000000002146E-2</v>
      </c>
      <c r="H41" s="124">
        <f>F41+C12</f>
        <v>0.7</v>
      </c>
      <c r="I41" s="125">
        <f>1-(G41/100)</f>
        <v>1.00041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0.7</v>
      </c>
      <c r="R41" s="12">
        <f t="shared" si="10"/>
        <v>1.00041</v>
      </c>
    </row>
    <row r="42" spans="1:21" s="10" customFormat="1" ht="13.9" customHeight="1" thickBot="1" x14ac:dyDescent="0.3">
      <c r="A42" s="167">
        <v>45957</v>
      </c>
      <c r="B42" s="168" t="s">
        <v>142</v>
      </c>
      <c r="C42" s="139" t="str">
        <f>A13</f>
        <v>4:1/120%</v>
      </c>
      <c r="D42" s="139">
        <v>5</v>
      </c>
      <c r="E42" s="119"/>
      <c r="F42" s="120"/>
      <c r="G42" s="130">
        <f>E42-((B13-1)*100)</f>
        <v>-4.0330000000010635E-2</v>
      </c>
      <c r="H42" s="130">
        <f>F42+C13</f>
        <v>0.69299999999999995</v>
      </c>
      <c r="I42" s="131">
        <f t="shared" ref="I42" si="16">1-(G42/100)</f>
        <v>1.0004033000000001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0.69299999999999995</v>
      </c>
      <c r="R42" s="141">
        <f>I42</f>
        <v>1.0004033000000001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0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1F62-DF84-4ACC-B001-240B4A8C752E}">
  <dimension ref="A1:U54"/>
  <sheetViews>
    <sheetView showGridLines="0" view="pageBreakPreview" zoomScaleNormal="115" zoomScaleSheetLayoutView="100" workbookViewId="0">
      <selection activeCell="A47" sqref="A47:XFD47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">
      <c r="A1" s="48" t="s">
        <v>23</v>
      </c>
      <c r="B1" s="48"/>
      <c r="C1" s="48"/>
      <c r="D1" s="48"/>
      <c r="E1" s="48"/>
      <c r="F1" s="48"/>
      <c r="G1" s="48"/>
      <c r="H1" s="48"/>
      <c r="I1" s="48"/>
      <c r="M1" s="69">
        <f>IFERROR(VLOOKUP(#REF!,#REF!,6,0),0)</f>
        <v>0</v>
      </c>
      <c r="N1" s="12">
        <f>IFERROR(VLOOKUP(#REF!,#REF!,7,0),0)</f>
        <v>0</v>
      </c>
      <c r="O1" s="69">
        <f>IFERROR(VLOOKUP(#REF!,#REF!,6,0),0)</f>
        <v>0</v>
      </c>
      <c r="P1" s="12">
        <f>IFERROR(VLOOKUP(#REF!,#REF!,7,0),0)</f>
        <v>0</v>
      </c>
      <c r="Q1" s="69">
        <f>IFERROR(VLOOKUP(#REF!,C1:I1,6,0),IFERROR(VLOOKUP(#REF!,C1:I1,6,0),IFERROR(VLOOKUP(#REF!,C1:I1,6,0),0)))</f>
        <v>0</v>
      </c>
      <c r="R1" s="12">
        <f>IFERROR(VLOOKUP(#REF!,C1:I1,7,0),IFERROR(VLOOKUP(#REF!,C1:I1,7,0),IFERROR(VLOOKUP(#REF!,C1:I1,7,0),0)))</f>
        <v>0</v>
      </c>
      <c r="S1" s="14"/>
      <c r="T1" s="14"/>
      <c r="U1" s="14"/>
    </row>
    <row r="2" spans="1:21" s="14" customFormat="1" ht="18" x14ac:dyDescent="0.2">
      <c r="A2" s="19" t="s">
        <v>47</v>
      </c>
      <c r="B2" s="20"/>
      <c r="C2" s="21"/>
      <c r="D2" s="22"/>
      <c r="E2" s="21"/>
      <c r="F2" s="21"/>
      <c r="G2" s="21"/>
      <c r="H2" s="21"/>
      <c r="I2" s="21"/>
    </row>
    <row r="3" spans="1:21" s="14" customFormat="1" ht="18" x14ac:dyDescent="0.2">
      <c r="A3" s="24"/>
      <c r="B3" s="23"/>
      <c r="C3" s="20"/>
      <c r="D3" s="20"/>
    </row>
    <row r="4" spans="1:21" s="14" customFormat="1" ht="18" x14ac:dyDescent="0.2">
      <c r="A4" s="25"/>
      <c r="B4" s="26"/>
      <c r="C4" s="20"/>
      <c r="D4" s="20"/>
    </row>
    <row r="5" spans="1:21" s="14" customFormat="1" ht="18" x14ac:dyDescent="0.2">
      <c r="A5" s="27"/>
      <c r="B5" s="26"/>
      <c r="C5" s="20"/>
      <c r="D5" s="20"/>
    </row>
    <row r="6" spans="1:21" s="14" customFormat="1" ht="18" x14ac:dyDescent="0.2">
      <c r="A6" s="29"/>
      <c r="B6" s="147"/>
      <c r="C6" s="8"/>
      <c r="D6" s="20"/>
    </row>
    <row r="7" spans="1:21" s="14" customFormat="1" ht="15.75" x14ac:dyDescent="0.2">
      <c r="A7" s="30" t="s">
        <v>105</v>
      </c>
      <c r="B7" s="30"/>
      <c r="C7" s="30"/>
      <c r="D7" s="30"/>
    </row>
    <row r="8" spans="1:21" s="14" customFormat="1" ht="18" x14ac:dyDescent="0.2">
      <c r="B8" s="31"/>
      <c r="C8" s="31"/>
      <c r="D8" s="20"/>
      <c r="E8" s="20"/>
      <c r="F8" s="20"/>
      <c r="G8" s="20"/>
      <c r="H8" s="20"/>
      <c r="I8" s="20"/>
    </row>
    <row r="9" spans="1:21" s="14" customFormat="1" ht="18" x14ac:dyDescent="0.2">
      <c r="A9" s="19" t="s">
        <v>26</v>
      </c>
      <c r="B9" s="31"/>
      <c r="C9" s="31"/>
      <c r="D9" s="20"/>
      <c r="E9" s="20"/>
      <c r="F9" s="20"/>
      <c r="G9" s="20"/>
      <c r="H9" s="20"/>
      <c r="I9" s="20"/>
    </row>
    <row r="10" spans="1:21" s="14" customFormat="1" ht="18" x14ac:dyDescent="0.2">
      <c r="A10" s="24"/>
      <c r="B10" s="23"/>
      <c r="C10" s="20"/>
      <c r="D10" s="20"/>
      <c r="F10" s="20"/>
      <c r="G10" s="20"/>
      <c r="H10" s="20"/>
      <c r="I10" s="20"/>
    </row>
    <row r="11" spans="1:21" s="14" customFormat="1" ht="18" x14ac:dyDescent="0.2">
      <c r="A11" s="25"/>
      <c r="B11" s="26"/>
      <c r="C11" s="20"/>
      <c r="D11" s="20"/>
      <c r="F11" s="20"/>
      <c r="G11" s="20"/>
      <c r="H11" s="20"/>
      <c r="I11" s="20"/>
    </row>
    <row r="12" spans="1:21" s="14" customFormat="1" ht="18" x14ac:dyDescent="0.2">
      <c r="A12" s="25"/>
      <c r="B12" s="26"/>
      <c r="C12" s="20"/>
      <c r="D12" s="20"/>
      <c r="F12" s="20"/>
      <c r="G12" s="20"/>
      <c r="H12" s="20"/>
      <c r="I12" s="20"/>
    </row>
    <row r="13" spans="1:21" s="14" customFormat="1" ht="18" x14ac:dyDescent="0.2">
      <c r="A13" s="25"/>
      <c r="B13" s="26"/>
      <c r="C13" s="20"/>
      <c r="D13" s="20"/>
      <c r="F13" s="8"/>
      <c r="G13" s="8"/>
      <c r="H13" s="8"/>
      <c r="I13" s="8"/>
    </row>
    <row r="14" spans="1:21" s="14" customFormat="1" ht="18" x14ac:dyDescent="0.2">
      <c r="A14" s="29"/>
      <c r="B14" s="28"/>
      <c r="C14" s="20"/>
      <c r="D14" s="20"/>
      <c r="F14" s="8"/>
      <c r="G14" s="8"/>
      <c r="H14" s="8"/>
      <c r="I14" s="8"/>
    </row>
    <row r="15" spans="1:21" s="14" customFormat="1" ht="20.25" x14ac:dyDescent="0.2">
      <c r="A15" s="30" t="s">
        <v>48</v>
      </c>
      <c r="B15" s="32"/>
      <c r="C15" s="32"/>
      <c r="D15" s="33"/>
      <c r="F15" s="33"/>
      <c r="G15" s="33"/>
      <c r="H15" s="33"/>
      <c r="I15" s="33"/>
    </row>
    <row r="16" spans="1:21" s="14" customFormat="1" ht="20.25" x14ac:dyDescent="0.2">
      <c r="A16" s="30"/>
      <c r="B16" s="32"/>
      <c r="C16" s="32"/>
      <c r="D16" s="33"/>
      <c r="F16" s="33"/>
      <c r="G16" s="33"/>
      <c r="H16" s="33"/>
      <c r="I16" s="33"/>
    </row>
    <row r="17" spans="1:9" s="14" customFormat="1" ht="20.25" x14ac:dyDescent="0.2">
      <c r="A17" s="30"/>
      <c r="B17" s="32"/>
      <c r="C17" s="32"/>
      <c r="D17" s="33"/>
      <c r="F17" s="33"/>
      <c r="G17" s="33"/>
      <c r="H17" s="33"/>
      <c r="I17" s="33"/>
    </row>
    <row r="18" spans="1:9" s="14" customFormat="1" ht="20.25" x14ac:dyDescent="0.2">
      <c r="A18" s="30"/>
      <c r="B18" s="32"/>
      <c r="C18" s="32"/>
      <c r="D18" s="33"/>
      <c r="F18" s="33"/>
      <c r="G18" s="33"/>
      <c r="H18" s="33"/>
      <c r="I18" s="33"/>
    </row>
    <row r="19" spans="1:9" s="14" customFormat="1" ht="20.25" x14ac:dyDescent="0.2">
      <c r="A19" s="30"/>
      <c r="B19" s="32"/>
      <c r="C19" s="32"/>
      <c r="D19" s="33"/>
      <c r="F19" s="33"/>
      <c r="G19" s="33"/>
      <c r="H19" s="33"/>
      <c r="I19" s="33"/>
    </row>
    <row r="20" spans="1:9" s="14" customFormat="1" ht="20.25" x14ac:dyDescent="0.2">
      <c r="A20" s="30"/>
      <c r="B20" s="32"/>
      <c r="C20" s="32"/>
      <c r="D20" s="33"/>
      <c r="F20" s="33"/>
      <c r="G20" s="33"/>
      <c r="H20" s="33"/>
      <c r="I20" s="33"/>
    </row>
    <row r="21" spans="1:9" s="14" customFormat="1" ht="20.25" x14ac:dyDescent="0.2">
      <c r="A21" s="30"/>
      <c r="B21" s="32"/>
      <c r="C21" s="32"/>
      <c r="D21" s="33"/>
      <c r="F21" s="33"/>
      <c r="G21" s="33"/>
      <c r="H21" s="33"/>
      <c r="I21" s="33"/>
    </row>
    <row r="22" spans="1:9" s="14" customFormat="1" ht="20.25" x14ac:dyDescent="0.2">
      <c r="A22" s="30"/>
      <c r="B22" s="32"/>
      <c r="C22" s="32"/>
      <c r="D22" s="33"/>
      <c r="F22" s="33"/>
      <c r="G22" s="33"/>
      <c r="H22" s="33"/>
      <c r="I22" s="33"/>
    </row>
    <row r="23" spans="1:9" s="14" customFormat="1" ht="20.25" x14ac:dyDescent="0.2">
      <c r="A23" s="30"/>
      <c r="B23" s="32"/>
      <c r="C23" s="32"/>
      <c r="D23" s="33"/>
      <c r="F23" s="33"/>
      <c r="G23" s="33"/>
      <c r="H23" s="33"/>
      <c r="I23" s="33"/>
    </row>
    <row r="24" spans="1:9" s="14" customFormat="1" ht="20.25" x14ac:dyDescent="0.2">
      <c r="A24" s="30"/>
      <c r="B24" s="32"/>
      <c r="C24" s="32"/>
      <c r="D24" s="33"/>
      <c r="F24" s="33"/>
      <c r="G24" s="33"/>
      <c r="H24" s="33"/>
      <c r="I24" s="33"/>
    </row>
    <row r="25" spans="1:9" s="14" customFormat="1" ht="20.25" x14ac:dyDescent="0.2">
      <c r="A25" s="30"/>
      <c r="B25" s="32"/>
      <c r="C25" s="32"/>
      <c r="D25" s="33"/>
      <c r="F25" s="33"/>
      <c r="G25" s="33"/>
      <c r="H25" s="33"/>
      <c r="I25" s="33"/>
    </row>
    <row r="26" spans="1:9" s="14" customFormat="1" ht="20.25" x14ac:dyDescent="0.2">
      <c r="A26" s="30"/>
      <c r="B26" s="32"/>
      <c r="C26" s="32"/>
      <c r="D26" s="33"/>
      <c r="F26" s="33"/>
      <c r="G26" s="33"/>
      <c r="H26" s="33"/>
      <c r="I26" s="33"/>
    </row>
    <row r="27" spans="1:9" s="14" customFormat="1" ht="20.25" x14ac:dyDescent="0.2">
      <c r="A27" s="30"/>
      <c r="B27" s="32"/>
      <c r="C27" s="32"/>
      <c r="D27" s="33"/>
      <c r="F27" s="33"/>
      <c r="G27" s="33"/>
      <c r="H27" s="33"/>
      <c r="I27" s="33"/>
    </row>
    <row r="28" spans="1:9" s="14" customFormat="1" ht="20.25" x14ac:dyDescent="0.2">
      <c r="A28" s="30"/>
      <c r="B28" s="32"/>
      <c r="C28" s="32"/>
      <c r="D28" s="33"/>
      <c r="F28" s="33"/>
      <c r="G28" s="33"/>
      <c r="H28" s="33"/>
      <c r="I28" s="33"/>
    </row>
    <row r="29" spans="1:9" s="14" customFormat="1" ht="20.25" x14ac:dyDescent="0.2">
      <c r="A29" s="30"/>
      <c r="B29" s="32"/>
      <c r="C29" s="32"/>
      <c r="D29" s="33"/>
      <c r="F29" s="33"/>
      <c r="G29" s="33"/>
      <c r="H29" s="33"/>
      <c r="I29" s="33"/>
    </row>
    <row r="30" spans="1:9" s="14" customFormat="1" ht="20.25" x14ac:dyDescent="0.2">
      <c r="A30" s="30"/>
      <c r="B30" s="32"/>
      <c r="C30" s="32"/>
      <c r="D30" s="33"/>
      <c r="F30" s="33"/>
      <c r="G30" s="33"/>
      <c r="H30" s="33"/>
      <c r="I30" s="33"/>
    </row>
    <row r="31" spans="1:9" s="14" customFormat="1" ht="20.25" x14ac:dyDescent="0.2">
      <c r="A31" s="30"/>
      <c r="B31" s="32"/>
      <c r="C31" s="32"/>
      <c r="D31" s="33"/>
      <c r="F31" s="33"/>
      <c r="G31" s="33"/>
      <c r="H31" s="33"/>
      <c r="I31" s="33"/>
    </row>
    <row r="32" spans="1:9" s="14" customFormat="1" ht="20.25" x14ac:dyDescent="0.2">
      <c r="A32" s="30"/>
      <c r="B32" s="32"/>
      <c r="C32" s="32"/>
      <c r="D32" s="33"/>
      <c r="F32" s="33"/>
      <c r="G32" s="33"/>
      <c r="H32" s="33"/>
      <c r="I32" s="33"/>
    </row>
    <row r="33" spans="1:9" s="14" customFormat="1" ht="20.25" x14ac:dyDescent="0.2">
      <c r="A33" s="30"/>
      <c r="B33" s="32"/>
      <c r="C33" s="32"/>
      <c r="D33" s="33"/>
      <c r="F33" s="33"/>
      <c r="G33" s="33"/>
      <c r="H33" s="33"/>
      <c r="I33" s="33"/>
    </row>
    <row r="34" spans="1:9" s="14" customFormat="1" ht="20.25" x14ac:dyDescent="0.2">
      <c r="A34" s="30"/>
      <c r="B34" s="32"/>
      <c r="C34" s="32"/>
      <c r="D34" s="33"/>
      <c r="F34" s="33"/>
      <c r="G34" s="33"/>
      <c r="H34" s="33"/>
      <c r="I34" s="33"/>
    </row>
    <row r="35" spans="1:9" s="14" customFormat="1" ht="20.25" x14ac:dyDescent="0.2">
      <c r="A35" s="30"/>
      <c r="B35" s="32"/>
      <c r="C35" s="32"/>
      <c r="D35" s="33"/>
      <c r="F35" s="33"/>
      <c r="G35" s="33"/>
      <c r="H35" s="33"/>
      <c r="I35" s="33"/>
    </row>
    <row r="36" spans="1:9" s="14" customFormat="1" ht="20.25" x14ac:dyDescent="0.2">
      <c r="A36" s="30"/>
      <c r="B36" s="32"/>
      <c r="C36" s="32"/>
      <c r="D36" s="33"/>
      <c r="F36" s="33"/>
      <c r="G36" s="33"/>
      <c r="H36" s="33"/>
      <c r="I36" s="33"/>
    </row>
    <row r="37" spans="1:9" s="14" customFormat="1" ht="20.25" x14ac:dyDescent="0.2">
      <c r="A37" s="30"/>
      <c r="B37" s="32"/>
      <c r="C37" s="32"/>
      <c r="D37" s="33"/>
      <c r="F37" s="33"/>
      <c r="G37" s="33"/>
      <c r="H37" s="33"/>
      <c r="I37" s="33"/>
    </row>
    <row r="38" spans="1:9" s="14" customFormat="1" ht="20.25" x14ac:dyDescent="0.2">
      <c r="A38" s="30"/>
      <c r="B38" s="32"/>
      <c r="C38" s="32"/>
      <c r="D38" s="33"/>
      <c r="F38" s="33"/>
      <c r="G38" s="33"/>
      <c r="H38" s="33"/>
      <c r="I38" s="33"/>
    </row>
    <row r="39" spans="1:9" s="14" customFormat="1" ht="20.25" x14ac:dyDescent="0.2">
      <c r="A39" s="30"/>
      <c r="B39" s="32"/>
      <c r="C39" s="32"/>
      <c r="D39" s="33"/>
      <c r="F39" s="33"/>
      <c r="G39" s="33"/>
      <c r="H39" s="33"/>
      <c r="I39" s="33"/>
    </row>
    <row r="40" spans="1:9" s="14" customFormat="1" ht="20.25" x14ac:dyDescent="0.2">
      <c r="A40" s="30"/>
      <c r="B40" s="32"/>
      <c r="C40" s="32"/>
      <c r="D40" s="33"/>
      <c r="F40" s="33"/>
      <c r="G40" s="33"/>
      <c r="H40" s="33"/>
      <c r="I40" s="33"/>
    </row>
    <row r="41" spans="1:9" s="14" customFormat="1" ht="20.25" x14ac:dyDescent="0.2">
      <c r="A41" s="30"/>
      <c r="B41" s="32"/>
      <c r="C41" s="32"/>
      <c r="D41" s="33"/>
      <c r="F41" s="33"/>
      <c r="G41" s="33"/>
      <c r="H41" s="33"/>
      <c r="I41" s="33"/>
    </row>
    <row r="42" spans="1:9" s="14" customFormat="1" ht="20.25" x14ac:dyDescent="0.2">
      <c r="A42" s="30"/>
      <c r="B42" s="32"/>
      <c r="C42" s="32"/>
      <c r="D42" s="33"/>
      <c r="F42" s="33"/>
      <c r="G42" s="33"/>
      <c r="H42" s="33"/>
      <c r="I42" s="33"/>
    </row>
    <row r="43" spans="1:9" s="14" customFormat="1" ht="20.25" x14ac:dyDescent="0.2">
      <c r="A43" s="30"/>
      <c r="B43" s="32"/>
      <c r="C43" s="32"/>
      <c r="D43" s="33"/>
      <c r="F43" s="33"/>
      <c r="G43" s="33"/>
      <c r="H43" s="33"/>
      <c r="I43" s="33"/>
    </row>
    <row r="44" spans="1:9" s="14" customFormat="1" ht="20.25" x14ac:dyDescent="0.2">
      <c r="A44" s="30"/>
      <c r="B44" s="32"/>
      <c r="C44" s="32"/>
      <c r="D44" s="33"/>
      <c r="F44" s="33"/>
      <c r="G44" s="33"/>
      <c r="H44" s="33"/>
      <c r="I44" s="33"/>
    </row>
    <row r="45" spans="1:9" s="14" customFormat="1" ht="20.25" x14ac:dyDescent="0.2">
      <c r="A45" s="30"/>
      <c r="B45" s="32"/>
      <c r="C45" s="32"/>
      <c r="D45" s="33"/>
      <c r="F45" s="33"/>
      <c r="G45" s="33"/>
      <c r="H45" s="33"/>
      <c r="I45" s="33"/>
    </row>
    <row r="46" spans="1:9" s="14" customFormat="1" ht="20.25" x14ac:dyDescent="0.2">
      <c r="A46" s="30"/>
      <c r="B46" s="32"/>
      <c r="C46" s="32"/>
      <c r="D46" s="33"/>
      <c r="F46" s="33"/>
      <c r="G46" s="33"/>
      <c r="H46" s="33"/>
      <c r="I46" s="33"/>
    </row>
    <row r="47" spans="1:9" s="14" customFormat="1" ht="20.25" x14ac:dyDescent="0.2">
      <c r="A47" s="30"/>
      <c r="B47" s="32"/>
      <c r="C47" s="32"/>
      <c r="D47" s="33"/>
      <c r="F47" s="33"/>
      <c r="G47" s="33"/>
      <c r="H47" s="33"/>
      <c r="I47" s="33"/>
    </row>
    <row r="48" spans="1:9" s="14" customFormat="1" ht="20.25" x14ac:dyDescent="0.2">
      <c r="A48" s="30"/>
      <c r="B48" s="32"/>
      <c r="C48" s="32"/>
      <c r="D48" s="33"/>
      <c r="F48" s="33"/>
      <c r="G48" s="33"/>
      <c r="H48" s="33"/>
      <c r="I48" s="33"/>
    </row>
    <row r="49" spans="1:21" s="14" customFormat="1" ht="20.25" x14ac:dyDescent="0.2">
      <c r="A49" s="30"/>
      <c r="B49" s="32"/>
      <c r="C49" s="32"/>
      <c r="D49" s="33"/>
      <c r="F49" s="33"/>
      <c r="G49" s="33"/>
      <c r="H49" s="33"/>
      <c r="I49" s="33"/>
    </row>
    <row r="50" spans="1:21" s="14" customFormat="1" ht="20.25" x14ac:dyDescent="0.2">
      <c r="A50" s="30"/>
      <c r="B50" s="32"/>
      <c r="C50" s="32"/>
      <c r="D50" s="33"/>
      <c r="F50" s="33"/>
      <c r="G50" s="33"/>
      <c r="H50" s="33"/>
      <c r="I50" s="33"/>
    </row>
    <row r="51" spans="1:21" s="14" customFormat="1" ht="20.25" x14ac:dyDescent="0.2">
      <c r="A51" s="30"/>
      <c r="B51" s="32"/>
      <c r="C51" s="32"/>
      <c r="D51" s="33"/>
      <c r="F51" s="33"/>
      <c r="G51" s="33"/>
      <c r="H51" s="33"/>
      <c r="I51" s="33"/>
    </row>
    <row r="52" spans="1:21" s="14" customFormat="1" ht="18" x14ac:dyDescent="0.2">
      <c r="A52" s="8"/>
      <c r="B52" s="8"/>
      <c r="C52" s="8"/>
      <c r="D52" s="8"/>
      <c r="E52" s="8"/>
      <c r="F52" s="8"/>
      <c r="G52" s="8"/>
      <c r="H52" s="8"/>
      <c r="I52" s="8"/>
      <c r="M52" s="9"/>
      <c r="N52" s="9"/>
      <c r="O52" s="9"/>
      <c r="P52" s="9"/>
      <c r="Q52" s="9"/>
      <c r="R52" s="9"/>
      <c r="S52" s="9"/>
      <c r="T52" s="9"/>
      <c r="U52" s="9"/>
    </row>
    <row r="53" spans="1:21" s="14" customFormat="1" ht="42.6" customHeight="1" x14ac:dyDescent="0.2">
      <c r="A53" s="214" t="s">
        <v>111</v>
      </c>
      <c r="B53" s="214"/>
      <c r="C53" s="214"/>
      <c r="D53" s="214"/>
      <c r="E53" s="214"/>
      <c r="F53" s="214"/>
      <c r="G53" s="214"/>
      <c r="H53" s="214"/>
      <c r="I53" s="214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5">
      <c r="M54" s="10"/>
      <c r="N54" s="10"/>
      <c r="O54" s="10"/>
      <c r="P54" s="10"/>
      <c r="Q54" s="10"/>
      <c r="R54" s="10"/>
      <c r="S54" s="10"/>
      <c r="T54" s="10"/>
      <c r="U54" s="10"/>
    </row>
  </sheetData>
  <mergeCells count="1">
    <mergeCell ref="A53:I53"/>
  </mergeCells>
  <printOptions horizontalCentered="1"/>
  <pageMargins left="0.31496062992125984" right="0.31496062992125984" top="0.86614173228346458" bottom="0.86614173228346458" header="0.19685039370078741" footer="0.39370078740157483"/>
  <pageSetup paperSize="9" scale="69" orientation="portrait" horizontalDpi="4294967294" verticalDpi="300" r:id="rId1"/>
  <headerFooter>
    <oddFooter>&amp;L&amp;"Arial,Normal"Local Ensaios: Serta Transformadores - Rua José Calixto, 200 - Santa Luzia - MG
qualidade@sertatransformadores.com.br  (31) 2102-4804&amp;C&amp;8&amp;G
&amp;R&amp;"Arial,Normal"
&amp;12Página: 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Dados</vt:lpstr>
      <vt:lpstr>Consulta</vt:lpstr>
      <vt:lpstr>5</vt:lpstr>
      <vt:lpstr>7</vt:lpstr>
      <vt:lpstr>8</vt:lpstr>
      <vt:lpstr>9</vt:lpstr>
      <vt:lpstr>11</vt:lpstr>
      <vt:lpstr>Ass.</vt:lpstr>
      <vt:lpstr>'11'!Area_de_impressao</vt:lpstr>
      <vt:lpstr>'5'!Area_de_impressao</vt:lpstr>
      <vt:lpstr>'7'!Area_de_impressao</vt:lpstr>
      <vt:lpstr>'8'!Area_de_impressao</vt:lpstr>
      <vt:lpstr>'9'!Area_de_impressao</vt:lpstr>
      <vt:lpstr>Ass.!Area_de_impressao</vt:lpstr>
      <vt:lpstr>Dados!Area_de_impressao</vt:lpstr>
      <vt:lpstr>Dados!Titulos_de_impressao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Joly</dc:creator>
  <cp:lastModifiedBy>fabrica21</cp:lastModifiedBy>
  <cp:lastPrinted>2025-10-28T14:01:47Z</cp:lastPrinted>
  <dcterms:created xsi:type="dcterms:W3CDTF">2015-10-16T13:20:10Z</dcterms:created>
  <dcterms:modified xsi:type="dcterms:W3CDTF">2025-11-06T18:10:50Z</dcterms:modified>
</cp:coreProperties>
</file>