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6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7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8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19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20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21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22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23.xml" ContentType="application/vnd.openxmlformats-officedocument.drawing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T:\Laboratorio\RELATÓRIOS DE ENSAIOS\Relatórios CV-2025\INGEOELÉCTRICA\OS 25757\"/>
    </mc:Choice>
  </mc:AlternateContent>
  <xr:revisionPtr revIDLastSave="0" documentId="13_ncr:1_{9439ECB8-3DA0-40C0-963D-BAD85E7B8489}" xr6:coauthVersionLast="47" xr6:coauthVersionMax="47" xr10:uidLastSave="{00000000-0000-0000-0000-000000000000}"/>
  <bookViews>
    <workbookView xWindow="-120" yWindow="-120" windowWidth="20730" windowHeight="11160" tabRatio="750" activeTab="15" xr2:uid="{00000000-000D-0000-FFFF-FFFF00000000}"/>
  </bookViews>
  <sheets>
    <sheet name="Dados" sheetId="30" r:id="rId1"/>
    <sheet name="1" sheetId="10" r:id="rId2"/>
    <sheet name="Consulta" sheetId="3" state="hidden" r:id="rId3"/>
    <sheet name="2" sheetId="11" r:id="rId4"/>
    <sheet name="3" sheetId="12" r:id="rId5"/>
    <sheet name="4" sheetId="13" r:id="rId6"/>
    <sheet name="5" sheetId="14" r:id="rId7"/>
    <sheet name="6" sheetId="15" r:id="rId8"/>
    <sheet name="7" sheetId="16" r:id="rId9"/>
    <sheet name="8" sheetId="17" r:id="rId10"/>
    <sheet name="9" sheetId="18" r:id="rId11"/>
    <sheet name="10" sheetId="19" r:id="rId12"/>
    <sheet name="11" sheetId="20" r:id="rId13"/>
    <sheet name="12" sheetId="21" r:id="rId14"/>
    <sheet name="13" sheetId="22" r:id="rId15"/>
    <sheet name="14" sheetId="23" r:id="rId16"/>
    <sheet name="15" sheetId="24" r:id="rId17"/>
    <sheet name="16" sheetId="25" r:id="rId18"/>
    <sheet name="17" sheetId="26" r:id="rId19"/>
    <sheet name="18" sheetId="27" r:id="rId20"/>
    <sheet name="19" sheetId="28" r:id="rId21"/>
    <sheet name="20" sheetId="29" r:id="rId22"/>
    <sheet name="Ass." sheetId="31" r:id="rId23"/>
  </sheets>
  <definedNames>
    <definedName name="_xlnm.Print_Area" localSheetId="1">'1'!$A$1:$I$42</definedName>
    <definedName name="_xlnm.Print_Area" localSheetId="11">'10'!$A$1:$I$42</definedName>
    <definedName name="_xlnm.Print_Area" localSheetId="12">'11'!$A$1:$I$42</definedName>
    <definedName name="_xlnm.Print_Area" localSheetId="13">'12'!$A$1:$I$42</definedName>
    <definedName name="_xlnm.Print_Area" localSheetId="14">'13'!$A$1:$I$42</definedName>
    <definedName name="_xlnm.Print_Area" localSheetId="15">'14'!$A$1:$I$42</definedName>
    <definedName name="_xlnm.Print_Area" localSheetId="16">'15'!$A$1:$I$42</definedName>
    <definedName name="_xlnm.Print_Area" localSheetId="17">'16'!$A$1:$I$42</definedName>
    <definedName name="_xlnm.Print_Area" localSheetId="18">'17'!$A$1:$I$42</definedName>
    <definedName name="_xlnm.Print_Area" localSheetId="19">'18'!$A$1:$I$42</definedName>
    <definedName name="_xlnm.Print_Area" localSheetId="20">'19'!$A$1:$I$42</definedName>
    <definedName name="_xlnm.Print_Area" localSheetId="3">'2'!$A$1:$I$42</definedName>
    <definedName name="_xlnm.Print_Area" localSheetId="21">'20'!$A$1:$I$42</definedName>
    <definedName name="_xlnm.Print_Area" localSheetId="4">'3'!$A$1:$I$42</definedName>
    <definedName name="_xlnm.Print_Area" localSheetId="5">'4'!$A$1:$I$42</definedName>
    <definedName name="_xlnm.Print_Area" localSheetId="6">'5'!$A$1:$I$42</definedName>
    <definedName name="_xlnm.Print_Area" localSheetId="7">'6'!$A$1:$I$42</definedName>
    <definedName name="_xlnm.Print_Area" localSheetId="8">'7'!$A$1:$I$42</definedName>
    <definedName name="_xlnm.Print_Area" localSheetId="9">'8'!$A$1:$I$42</definedName>
    <definedName name="_xlnm.Print_Area" localSheetId="10">'9'!$A$1:$I$42</definedName>
    <definedName name="_xlnm.Print_Area" localSheetId="22">Ass.!$A$1:$I$53</definedName>
    <definedName name="_xlnm.Print_Area" localSheetId="0">Dados!$A$1:$I$49</definedName>
    <definedName name="_xlnm.Print_Titles" localSheetId="1">'1'!#REF!</definedName>
    <definedName name="_xlnm.Print_Titles" localSheetId="11">'10'!#REF!</definedName>
    <definedName name="_xlnm.Print_Titles" localSheetId="12">'11'!#REF!</definedName>
    <definedName name="_xlnm.Print_Titles" localSheetId="13">'12'!#REF!</definedName>
    <definedName name="_xlnm.Print_Titles" localSheetId="14">'13'!#REF!</definedName>
    <definedName name="_xlnm.Print_Titles" localSheetId="15">'14'!#REF!</definedName>
    <definedName name="_xlnm.Print_Titles" localSheetId="16">'15'!#REF!</definedName>
    <definedName name="_xlnm.Print_Titles" localSheetId="17">'16'!#REF!</definedName>
    <definedName name="_xlnm.Print_Titles" localSheetId="18">'17'!#REF!</definedName>
    <definedName name="_xlnm.Print_Titles" localSheetId="19">'18'!#REF!</definedName>
    <definedName name="_xlnm.Print_Titles" localSheetId="20">'19'!#REF!</definedName>
    <definedName name="_xlnm.Print_Titles" localSheetId="3">'2'!#REF!</definedName>
    <definedName name="_xlnm.Print_Titles" localSheetId="21">'20'!#REF!</definedName>
    <definedName name="_xlnm.Print_Titles" localSheetId="4">'3'!#REF!</definedName>
    <definedName name="_xlnm.Print_Titles" localSheetId="5">'4'!#REF!</definedName>
    <definedName name="_xlnm.Print_Titles" localSheetId="6">'5'!#REF!</definedName>
    <definedName name="_xlnm.Print_Titles" localSheetId="7">'6'!#REF!</definedName>
    <definedName name="_xlnm.Print_Titles" localSheetId="8">'7'!#REF!</definedName>
    <definedName name="_xlnm.Print_Titles" localSheetId="9">'8'!#REF!</definedName>
    <definedName name="_xlnm.Print_Titles" localSheetId="10">'9'!#REF!</definedName>
    <definedName name="_xlnm.Print_Titles" localSheetId="22">Ass.!#REF!</definedName>
    <definedName name="_xlnm.Print_Titles" localSheetId="0">Dados!$1:$3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2" l="1"/>
  <c r="B13" i="12"/>
  <c r="B12" i="12"/>
  <c r="B11" i="12"/>
  <c r="B10" i="12"/>
  <c r="B9" i="12"/>
  <c r="B8" i="12"/>
  <c r="B7" i="12"/>
  <c r="B6" i="12"/>
  <c r="B14" i="13"/>
  <c r="B13" i="13"/>
  <c r="G42" i="13" s="1"/>
  <c r="B12" i="13"/>
  <c r="G36" i="13" s="1"/>
  <c r="B11" i="13"/>
  <c r="B10" i="13"/>
  <c r="B9" i="13"/>
  <c r="B8" i="13"/>
  <c r="B7" i="13"/>
  <c r="B6" i="13"/>
  <c r="B14" i="14"/>
  <c r="B13" i="14"/>
  <c r="G42" i="14" s="1"/>
  <c r="B12" i="14"/>
  <c r="B11" i="14"/>
  <c r="B10" i="14"/>
  <c r="B9" i="14"/>
  <c r="B8" i="14"/>
  <c r="B7" i="14"/>
  <c r="B6" i="14"/>
  <c r="B14" i="15"/>
  <c r="B13" i="15"/>
  <c r="B12" i="15"/>
  <c r="B11" i="15"/>
  <c r="B10" i="15"/>
  <c r="B9" i="15"/>
  <c r="B8" i="15"/>
  <c r="B7" i="15"/>
  <c r="B6" i="15"/>
  <c r="G38" i="15" s="1"/>
  <c r="B14" i="16"/>
  <c r="B13" i="16"/>
  <c r="B12" i="16"/>
  <c r="B11" i="16"/>
  <c r="B10" i="16"/>
  <c r="B9" i="16"/>
  <c r="B8" i="16"/>
  <c r="B7" i="16"/>
  <c r="G39" i="16" s="1"/>
  <c r="B6" i="16"/>
  <c r="B14" i="17"/>
  <c r="B13" i="17"/>
  <c r="G42" i="17" s="1"/>
  <c r="B12" i="17"/>
  <c r="G36" i="17" s="1"/>
  <c r="B11" i="17"/>
  <c r="B10" i="17"/>
  <c r="B9" i="17"/>
  <c r="B8" i="17"/>
  <c r="B7" i="17"/>
  <c r="B6" i="17"/>
  <c r="B14" i="18"/>
  <c r="B13" i="18"/>
  <c r="G42" i="18" s="1"/>
  <c r="B12" i="18"/>
  <c r="B11" i="18"/>
  <c r="B10" i="18"/>
  <c r="B9" i="18"/>
  <c r="G35" i="18" s="1"/>
  <c r="B8" i="18"/>
  <c r="B7" i="18"/>
  <c r="B6" i="18"/>
  <c r="G38" i="18" s="1"/>
  <c r="B14" i="19"/>
  <c r="B13" i="19"/>
  <c r="B12" i="19"/>
  <c r="B11" i="19"/>
  <c r="B10" i="19"/>
  <c r="B9" i="19"/>
  <c r="B8" i="19"/>
  <c r="B7" i="19"/>
  <c r="B6" i="19"/>
  <c r="G38" i="19" s="1"/>
  <c r="B14" i="20"/>
  <c r="B13" i="20"/>
  <c r="B12" i="20"/>
  <c r="B11" i="20"/>
  <c r="B10" i="20"/>
  <c r="B9" i="20"/>
  <c r="B8" i="20"/>
  <c r="B7" i="20"/>
  <c r="B6" i="20"/>
  <c r="B14" i="21"/>
  <c r="B13" i="21"/>
  <c r="G42" i="21" s="1"/>
  <c r="B12" i="21"/>
  <c r="G36" i="21" s="1"/>
  <c r="B11" i="21"/>
  <c r="B10" i="21"/>
  <c r="B9" i="21"/>
  <c r="B8" i="21"/>
  <c r="B7" i="21"/>
  <c r="B6" i="21"/>
  <c r="B14" i="22"/>
  <c r="B13" i="22"/>
  <c r="B12" i="22"/>
  <c r="B11" i="22"/>
  <c r="B10" i="22"/>
  <c r="B9" i="22"/>
  <c r="B8" i="22"/>
  <c r="B7" i="22"/>
  <c r="B6" i="22"/>
  <c r="B14" i="23"/>
  <c r="B13" i="23"/>
  <c r="B12" i="23"/>
  <c r="B11" i="23"/>
  <c r="B10" i="23"/>
  <c r="B9" i="23"/>
  <c r="B8" i="23"/>
  <c r="B7" i="23"/>
  <c r="B6" i="23"/>
  <c r="G38" i="23" s="1"/>
  <c r="B14" i="24"/>
  <c r="B13" i="24"/>
  <c r="B12" i="24"/>
  <c r="G36" i="24" s="1"/>
  <c r="B11" i="24"/>
  <c r="B10" i="24"/>
  <c r="B9" i="24"/>
  <c r="B8" i="24"/>
  <c r="B7" i="24"/>
  <c r="G39" i="24" s="1"/>
  <c r="B6" i="24"/>
  <c r="B14" i="25"/>
  <c r="B13" i="25"/>
  <c r="B12" i="25"/>
  <c r="G36" i="25" s="1"/>
  <c r="B11" i="25"/>
  <c r="B10" i="25"/>
  <c r="B9" i="25"/>
  <c r="G35" i="25" s="1"/>
  <c r="B8" i="25"/>
  <c r="B7" i="25"/>
  <c r="B6" i="25"/>
  <c r="B14" i="26"/>
  <c r="B13" i="26"/>
  <c r="G37" i="26" s="1"/>
  <c r="B12" i="26"/>
  <c r="B11" i="26"/>
  <c r="B10" i="26"/>
  <c r="B9" i="26"/>
  <c r="G35" i="26" s="1"/>
  <c r="B8" i="26"/>
  <c r="B7" i="26"/>
  <c r="B6" i="26"/>
  <c r="B14" i="27"/>
  <c r="B13" i="27"/>
  <c r="B12" i="27"/>
  <c r="B11" i="27"/>
  <c r="B10" i="27"/>
  <c r="B9" i="27"/>
  <c r="B8" i="27"/>
  <c r="B7" i="27"/>
  <c r="B6" i="27"/>
  <c r="B14" i="28"/>
  <c r="B13" i="28"/>
  <c r="B12" i="28"/>
  <c r="B11" i="28"/>
  <c r="B10" i="28"/>
  <c r="B9" i="28"/>
  <c r="B8" i="28"/>
  <c r="B7" i="28"/>
  <c r="B6" i="28"/>
  <c r="B14" i="29"/>
  <c r="B13" i="29"/>
  <c r="G42" i="29" s="1"/>
  <c r="B12" i="29"/>
  <c r="G36" i="29" s="1"/>
  <c r="B11" i="29"/>
  <c r="B10" i="29"/>
  <c r="B9" i="29"/>
  <c r="B8" i="29"/>
  <c r="B7" i="29"/>
  <c r="B6" i="29"/>
  <c r="B14" i="11"/>
  <c r="B13" i="11"/>
  <c r="G42" i="11" s="1"/>
  <c r="B12" i="11"/>
  <c r="B11" i="11"/>
  <c r="B10" i="11"/>
  <c r="B9" i="11"/>
  <c r="G35" i="11" s="1"/>
  <c r="B8" i="11"/>
  <c r="B7" i="11"/>
  <c r="B6" i="11"/>
  <c r="G38" i="11" s="1"/>
  <c r="B13" i="10"/>
  <c r="B14" i="10"/>
  <c r="G42" i="25"/>
  <c r="B12" i="10"/>
  <c r="B11" i="10"/>
  <c r="B10" i="10"/>
  <c r="G35" i="27"/>
  <c r="B9" i="10"/>
  <c r="G39" i="17"/>
  <c r="G39" i="25"/>
  <c r="B7" i="10"/>
  <c r="B6" i="10"/>
  <c r="R1" i="31"/>
  <c r="Q1" i="31"/>
  <c r="P1" i="31"/>
  <c r="O1" i="31"/>
  <c r="N1" i="31"/>
  <c r="M1" i="31"/>
  <c r="H42" i="29"/>
  <c r="Q42" i="29" s="1"/>
  <c r="C42" i="29"/>
  <c r="M42" i="29" s="1"/>
  <c r="H41" i="29"/>
  <c r="C41" i="29"/>
  <c r="O41" i="29" s="1"/>
  <c r="H40" i="29"/>
  <c r="C40" i="29"/>
  <c r="O40" i="29" s="1"/>
  <c r="H39" i="29"/>
  <c r="C39" i="29"/>
  <c r="R39" i="29" s="1"/>
  <c r="H38" i="29"/>
  <c r="C38" i="29"/>
  <c r="Q38" i="29" s="1"/>
  <c r="H37" i="29"/>
  <c r="Q37" i="29" s="1"/>
  <c r="C37" i="29"/>
  <c r="O37" i="29" s="1"/>
  <c r="H36" i="29"/>
  <c r="C36" i="29"/>
  <c r="O36" i="29" s="1"/>
  <c r="H35" i="29"/>
  <c r="C35" i="29"/>
  <c r="H34" i="29"/>
  <c r="C34" i="29"/>
  <c r="R34" i="29" s="1"/>
  <c r="H33" i="29"/>
  <c r="C33" i="29"/>
  <c r="H32" i="29"/>
  <c r="Q32" i="29" s="1"/>
  <c r="C32" i="29"/>
  <c r="M32" i="29" s="1"/>
  <c r="H31" i="29"/>
  <c r="C31" i="29"/>
  <c r="O31" i="29" s="1"/>
  <c r="H30" i="29"/>
  <c r="C30" i="29"/>
  <c r="O30" i="29" s="1"/>
  <c r="H29" i="29"/>
  <c r="C29" i="29"/>
  <c r="H28" i="29"/>
  <c r="C28" i="29"/>
  <c r="Q28" i="29" s="1"/>
  <c r="S13" i="29"/>
  <c r="T13" i="29" s="1"/>
  <c r="Q13" i="29"/>
  <c r="R13" i="29" s="1"/>
  <c r="U13" i="29" s="1"/>
  <c r="U12" i="29"/>
  <c r="T12" i="29"/>
  <c r="S12" i="29"/>
  <c r="S10" i="29"/>
  <c r="T10" i="29" s="1"/>
  <c r="Q10" i="29"/>
  <c r="R10" i="29" s="1"/>
  <c r="U10" i="29" s="1"/>
  <c r="U9" i="29"/>
  <c r="T9" i="29"/>
  <c r="S9" i="29"/>
  <c r="G35" i="29"/>
  <c r="S7" i="29"/>
  <c r="T7" i="29" s="1"/>
  <c r="Q7" i="29"/>
  <c r="R7" i="29" s="1"/>
  <c r="U7" i="29" s="1"/>
  <c r="G39" i="29"/>
  <c r="U6" i="29"/>
  <c r="T6" i="29"/>
  <c r="S6" i="29"/>
  <c r="G38" i="29"/>
  <c r="H42" i="28"/>
  <c r="Q42" i="28" s="1"/>
  <c r="C42" i="28"/>
  <c r="M42" i="28" s="1"/>
  <c r="H41" i="28"/>
  <c r="C41" i="28"/>
  <c r="O41" i="28" s="1"/>
  <c r="H40" i="28"/>
  <c r="C40" i="28"/>
  <c r="O40" i="28" s="1"/>
  <c r="H39" i="28"/>
  <c r="C39" i="28"/>
  <c r="Q39" i="28" s="1"/>
  <c r="H38" i="28"/>
  <c r="C38" i="28"/>
  <c r="Q38" i="28" s="1"/>
  <c r="H37" i="28"/>
  <c r="Q37" i="28" s="1"/>
  <c r="C37" i="28"/>
  <c r="O37" i="28" s="1"/>
  <c r="H36" i="28"/>
  <c r="C36" i="28"/>
  <c r="P36" i="28" s="1"/>
  <c r="H35" i="28"/>
  <c r="C35" i="28"/>
  <c r="H34" i="28"/>
  <c r="C34" i="28"/>
  <c r="R34" i="28" s="1"/>
  <c r="H33" i="28"/>
  <c r="C33" i="28"/>
  <c r="O33" i="28" s="1"/>
  <c r="H32" i="28"/>
  <c r="Q32" i="28" s="1"/>
  <c r="C32" i="28"/>
  <c r="M32" i="28" s="1"/>
  <c r="O31" i="28"/>
  <c r="H31" i="28"/>
  <c r="C31" i="28"/>
  <c r="H30" i="28"/>
  <c r="C30" i="28"/>
  <c r="O30" i="28" s="1"/>
  <c r="H29" i="28"/>
  <c r="C29" i="28"/>
  <c r="Q29" i="28" s="1"/>
  <c r="H28" i="28"/>
  <c r="C28" i="28"/>
  <c r="Q28" i="28" s="1"/>
  <c r="S13" i="28"/>
  <c r="T13" i="28" s="1"/>
  <c r="Q13" i="28"/>
  <c r="R13" i="28" s="1"/>
  <c r="U13" i="28" s="1"/>
  <c r="G42" i="28"/>
  <c r="U12" i="28"/>
  <c r="T12" i="28"/>
  <c r="S12" i="28"/>
  <c r="G36" i="28"/>
  <c r="S10" i="28"/>
  <c r="T10" i="28" s="1"/>
  <c r="Q10" i="28"/>
  <c r="R10" i="28" s="1"/>
  <c r="U10" i="28" s="1"/>
  <c r="U9" i="28"/>
  <c r="T9" i="28"/>
  <c r="S9" i="28"/>
  <c r="S7" i="28"/>
  <c r="T7" i="28" s="1"/>
  <c r="Q7" i="28"/>
  <c r="R7" i="28" s="1"/>
  <c r="U7" i="28" s="1"/>
  <c r="G39" i="28"/>
  <c r="U6" i="28"/>
  <c r="T6" i="28"/>
  <c r="S6" i="28"/>
  <c r="H42" i="27"/>
  <c r="Q42" i="27" s="1"/>
  <c r="C42" i="27"/>
  <c r="M42" i="27" s="1"/>
  <c r="H41" i="27"/>
  <c r="C41" i="27"/>
  <c r="O41" i="27" s="1"/>
  <c r="H40" i="27"/>
  <c r="C40" i="27"/>
  <c r="O40" i="27" s="1"/>
  <c r="H39" i="27"/>
  <c r="C39" i="27"/>
  <c r="Q39" i="27" s="1"/>
  <c r="H38" i="27"/>
  <c r="C38" i="27"/>
  <c r="Q38" i="27" s="1"/>
  <c r="H37" i="27"/>
  <c r="Q37" i="27" s="1"/>
  <c r="C37" i="27"/>
  <c r="H36" i="27"/>
  <c r="C36" i="27"/>
  <c r="P36" i="27" s="1"/>
  <c r="H35" i="27"/>
  <c r="C35" i="27"/>
  <c r="H34" i="27"/>
  <c r="C34" i="27"/>
  <c r="R34" i="27" s="1"/>
  <c r="H33" i="27"/>
  <c r="C33" i="27"/>
  <c r="O33" i="27" s="1"/>
  <c r="H32" i="27"/>
  <c r="Q32" i="27" s="1"/>
  <c r="C32" i="27"/>
  <c r="M32" i="27" s="1"/>
  <c r="H31" i="27"/>
  <c r="C31" i="27"/>
  <c r="O31" i="27" s="1"/>
  <c r="H30" i="27"/>
  <c r="C30" i="27"/>
  <c r="O30" i="27" s="1"/>
  <c r="H29" i="27"/>
  <c r="C29" i="27"/>
  <c r="Q29" i="27" s="1"/>
  <c r="H28" i="27"/>
  <c r="C28" i="27"/>
  <c r="Q28" i="27" s="1"/>
  <c r="S13" i="27"/>
  <c r="T13" i="27" s="1"/>
  <c r="Q13" i="27"/>
  <c r="R13" i="27" s="1"/>
  <c r="U13" i="27" s="1"/>
  <c r="G42" i="27"/>
  <c r="U12" i="27"/>
  <c r="T12" i="27"/>
  <c r="S12" i="27"/>
  <c r="G36" i="27"/>
  <c r="S10" i="27"/>
  <c r="T10" i="27" s="1"/>
  <c r="Q10" i="27"/>
  <c r="R10" i="27" s="1"/>
  <c r="U10" i="27" s="1"/>
  <c r="U9" i="27"/>
  <c r="T9" i="27"/>
  <c r="S9" i="27"/>
  <c r="S7" i="27"/>
  <c r="T7" i="27" s="1"/>
  <c r="Q7" i="27"/>
  <c r="R7" i="27" s="1"/>
  <c r="U7" i="27" s="1"/>
  <c r="G39" i="27"/>
  <c r="U6" i="27"/>
  <c r="T6" i="27"/>
  <c r="S6" i="27"/>
  <c r="G38" i="27"/>
  <c r="H42" i="26"/>
  <c r="Q42" i="26" s="1"/>
  <c r="C42" i="26"/>
  <c r="O42" i="26" s="1"/>
  <c r="H41" i="26"/>
  <c r="C41" i="26"/>
  <c r="P41" i="26" s="1"/>
  <c r="H40" i="26"/>
  <c r="C40" i="26"/>
  <c r="O40" i="26" s="1"/>
  <c r="H39" i="26"/>
  <c r="C39" i="26"/>
  <c r="R39" i="26" s="1"/>
  <c r="H38" i="26"/>
  <c r="C38" i="26"/>
  <c r="R38" i="26" s="1"/>
  <c r="H37" i="26"/>
  <c r="Q37" i="26" s="1"/>
  <c r="C37" i="26"/>
  <c r="O37" i="26" s="1"/>
  <c r="H36" i="26"/>
  <c r="C36" i="26"/>
  <c r="O35" i="26"/>
  <c r="H35" i="26"/>
  <c r="C35" i="26"/>
  <c r="N35" i="26" s="1"/>
  <c r="H34" i="26"/>
  <c r="C34" i="26"/>
  <c r="R34" i="26" s="1"/>
  <c r="H33" i="26"/>
  <c r="C33" i="26"/>
  <c r="O33" i="26" s="1"/>
  <c r="H32" i="26"/>
  <c r="Q32" i="26" s="1"/>
  <c r="C32" i="26"/>
  <c r="H31" i="26"/>
  <c r="C31" i="26"/>
  <c r="P31" i="26" s="1"/>
  <c r="H30" i="26"/>
  <c r="C30" i="26"/>
  <c r="O30" i="26" s="1"/>
  <c r="H29" i="26"/>
  <c r="C29" i="26"/>
  <c r="N29" i="26" s="1"/>
  <c r="H28" i="26"/>
  <c r="C28" i="26"/>
  <c r="S13" i="26"/>
  <c r="T13" i="26" s="1"/>
  <c r="Q13" i="26"/>
  <c r="R13" i="26" s="1"/>
  <c r="U13" i="26" s="1"/>
  <c r="U12" i="26"/>
  <c r="T12" i="26"/>
  <c r="S12" i="26"/>
  <c r="G36" i="26"/>
  <c r="S10" i="26"/>
  <c r="T10" i="26" s="1"/>
  <c r="Q10" i="26"/>
  <c r="R10" i="26" s="1"/>
  <c r="U10" i="26" s="1"/>
  <c r="U9" i="26"/>
  <c r="T9" i="26"/>
  <c r="S9" i="26"/>
  <c r="S7" i="26"/>
  <c r="T7" i="26" s="1"/>
  <c r="Q7" i="26"/>
  <c r="R7" i="26" s="1"/>
  <c r="U7" i="26" s="1"/>
  <c r="G39" i="26"/>
  <c r="U6" i="26"/>
  <c r="T6" i="26"/>
  <c r="S6" i="26"/>
  <c r="H42" i="25"/>
  <c r="Q42" i="25" s="1"/>
  <c r="C42" i="25"/>
  <c r="M42" i="25" s="1"/>
  <c r="O41" i="25"/>
  <c r="H41" i="25"/>
  <c r="C41" i="25"/>
  <c r="P41" i="25" s="1"/>
  <c r="H40" i="25"/>
  <c r="C40" i="25"/>
  <c r="M40" i="25" s="1"/>
  <c r="H39" i="25"/>
  <c r="C39" i="25"/>
  <c r="Q39" i="25" s="1"/>
  <c r="H38" i="25"/>
  <c r="C38" i="25"/>
  <c r="Q38" i="25" s="1"/>
  <c r="H37" i="25"/>
  <c r="Q37" i="25" s="1"/>
  <c r="C37" i="25"/>
  <c r="O37" i="25" s="1"/>
  <c r="H36" i="25"/>
  <c r="C36" i="25"/>
  <c r="P36" i="25" s="1"/>
  <c r="H35" i="25"/>
  <c r="C35" i="25"/>
  <c r="H34" i="25"/>
  <c r="C34" i="25"/>
  <c r="R34" i="25" s="1"/>
  <c r="H33" i="25"/>
  <c r="C33" i="25"/>
  <c r="H32" i="25"/>
  <c r="Q32" i="25" s="1"/>
  <c r="C32" i="25"/>
  <c r="M32" i="25" s="1"/>
  <c r="H31" i="25"/>
  <c r="C31" i="25"/>
  <c r="P31" i="25" s="1"/>
  <c r="H30" i="25"/>
  <c r="C30" i="25"/>
  <c r="O30" i="25" s="1"/>
  <c r="H29" i="25"/>
  <c r="C29" i="25"/>
  <c r="H28" i="25"/>
  <c r="C28" i="25"/>
  <c r="Q28" i="25" s="1"/>
  <c r="S13" i="25"/>
  <c r="T13" i="25" s="1"/>
  <c r="Q13" i="25"/>
  <c r="R13" i="25" s="1"/>
  <c r="U13" i="25" s="1"/>
  <c r="U12" i="25"/>
  <c r="T12" i="25"/>
  <c r="S12" i="25"/>
  <c r="S10" i="25"/>
  <c r="T10" i="25" s="1"/>
  <c r="Q10" i="25"/>
  <c r="R10" i="25" s="1"/>
  <c r="U10" i="25" s="1"/>
  <c r="U9" i="25"/>
  <c r="T9" i="25"/>
  <c r="S9" i="25"/>
  <c r="S7" i="25"/>
  <c r="T7" i="25" s="1"/>
  <c r="Q7" i="25"/>
  <c r="R7" i="25" s="1"/>
  <c r="U7" i="25" s="1"/>
  <c r="U6" i="25"/>
  <c r="T6" i="25"/>
  <c r="S6" i="25"/>
  <c r="G38" i="25"/>
  <c r="H42" i="24"/>
  <c r="Q42" i="24" s="1"/>
  <c r="C42" i="24"/>
  <c r="M42" i="24" s="1"/>
  <c r="H41" i="24"/>
  <c r="C41" i="24"/>
  <c r="P41" i="24" s="1"/>
  <c r="H40" i="24"/>
  <c r="C40" i="24"/>
  <c r="O40" i="24" s="1"/>
  <c r="H39" i="24"/>
  <c r="C39" i="24"/>
  <c r="Q39" i="24" s="1"/>
  <c r="H38" i="24"/>
  <c r="C38" i="24"/>
  <c r="Q38" i="24" s="1"/>
  <c r="H37" i="24"/>
  <c r="Q37" i="24" s="1"/>
  <c r="C37" i="24"/>
  <c r="O37" i="24" s="1"/>
  <c r="H36" i="24"/>
  <c r="C36" i="24"/>
  <c r="P36" i="24" s="1"/>
  <c r="H35" i="24"/>
  <c r="C35" i="24"/>
  <c r="H34" i="24"/>
  <c r="C34" i="24"/>
  <c r="R34" i="24" s="1"/>
  <c r="H33" i="24"/>
  <c r="C33" i="24"/>
  <c r="O33" i="24" s="1"/>
  <c r="H32" i="24"/>
  <c r="Q32" i="24" s="1"/>
  <c r="C32" i="24"/>
  <c r="M32" i="24" s="1"/>
  <c r="H31" i="24"/>
  <c r="C31" i="24"/>
  <c r="H30" i="24"/>
  <c r="C30" i="24"/>
  <c r="O30" i="24" s="1"/>
  <c r="H29" i="24"/>
  <c r="C29" i="24"/>
  <c r="Q29" i="24" s="1"/>
  <c r="H28" i="24"/>
  <c r="C28" i="24"/>
  <c r="S13" i="24"/>
  <c r="T13" i="24" s="1"/>
  <c r="Q13" i="24"/>
  <c r="R13" i="24" s="1"/>
  <c r="U13" i="24" s="1"/>
  <c r="G42" i="24"/>
  <c r="U12" i="24"/>
  <c r="T12" i="24"/>
  <c r="S12" i="24"/>
  <c r="S10" i="24"/>
  <c r="T10" i="24" s="1"/>
  <c r="Q10" i="24"/>
  <c r="R10" i="24" s="1"/>
  <c r="U10" i="24" s="1"/>
  <c r="U9" i="24"/>
  <c r="T9" i="24"/>
  <c r="S9" i="24"/>
  <c r="S7" i="24"/>
  <c r="T7" i="24" s="1"/>
  <c r="Q7" i="24"/>
  <c r="R7" i="24" s="1"/>
  <c r="U7" i="24" s="1"/>
  <c r="U6" i="24"/>
  <c r="T6" i="24"/>
  <c r="S6" i="24"/>
  <c r="G38" i="24"/>
  <c r="H42" i="23"/>
  <c r="Q42" i="23" s="1"/>
  <c r="C42" i="23"/>
  <c r="M42" i="23" s="1"/>
  <c r="H41" i="23"/>
  <c r="C41" i="23"/>
  <c r="P41" i="23" s="1"/>
  <c r="H40" i="23"/>
  <c r="C40" i="23"/>
  <c r="O40" i="23" s="1"/>
  <c r="H39" i="23"/>
  <c r="C39" i="23"/>
  <c r="Q39" i="23" s="1"/>
  <c r="H38" i="23"/>
  <c r="C38" i="23"/>
  <c r="Q38" i="23" s="1"/>
  <c r="H37" i="23"/>
  <c r="Q37" i="23" s="1"/>
  <c r="C37" i="23"/>
  <c r="O37" i="23" s="1"/>
  <c r="H36" i="23"/>
  <c r="C36" i="23"/>
  <c r="P36" i="23" s="1"/>
  <c r="H35" i="23"/>
  <c r="C35" i="23"/>
  <c r="H34" i="23"/>
  <c r="C34" i="23"/>
  <c r="R34" i="23" s="1"/>
  <c r="H33" i="23"/>
  <c r="C33" i="23"/>
  <c r="O33" i="23" s="1"/>
  <c r="H32" i="23"/>
  <c r="Q32" i="23" s="1"/>
  <c r="C32" i="23"/>
  <c r="M32" i="23" s="1"/>
  <c r="H31" i="23"/>
  <c r="C31" i="23"/>
  <c r="P31" i="23" s="1"/>
  <c r="H30" i="23"/>
  <c r="C30" i="23"/>
  <c r="O30" i="23" s="1"/>
  <c r="H29" i="23"/>
  <c r="C29" i="23"/>
  <c r="Q29" i="23" s="1"/>
  <c r="H28" i="23"/>
  <c r="C28" i="23"/>
  <c r="Q28" i="23" s="1"/>
  <c r="S13" i="23"/>
  <c r="T13" i="23" s="1"/>
  <c r="Q13" i="23"/>
  <c r="R13" i="23" s="1"/>
  <c r="U13" i="23" s="1"/>
  <c r="G42" i="23"/>
  <c r="U12" i="23"/>
  <c r="T12" i="23"/>
  <c r="S12" i="23"/>
  <c r="G36" i="23"/>
  <c r="S10" i="23"/>
  <c r="T10" i="23" s="1"/>
  <c r="Q10" i="23"/>
  <c r="R10" i="23" s="1"/>
  <c r="U10" i="23" s="1"/>
  <c r="U9" i="23"/>
  <c r="T9" i="23"/>
  <c r="S9" i="23"/>
  <c r="G35" i="23"/>
  <c r="S7" i="23"/>
  <c r="T7" i="23" s="1"/>
  <c r="Q7" i="23"/>
  <c r="R7" i="23" s="1"/>
  <c r="U7" i="23" s="1"/>
  <c r="G39" i="23"/>
  <c r="U6" i="23"/>
  <c r="T6" i="23"/>
  <c r="S6" i="23"/>
  <c r="H42" i="22"/>
  <c r="Q42" i="22" s="1"/>
  <c r="C42" i="22"/>
  <c r="M42" i="22" s="1"/>
  <c r="H41" i="22"/>
  <c r="C41" i="22"/>
  <c r="O41" i="22" s="1"/>
  <c r="H40" i="22"/>
  <c r="C40" i="22"/>
  <c r="O40" i="22" s="1"/>
  <c r="H39" i="22"/>
  <c r="C39" i="22"/>
  <c r="Q39" i="22" s="1"/>
  <c r="H38" i="22"/>
  <c r="C38" i="22"/>
  <c r="Q38" i="22" s="1"/>
  <c r="H37" i="22"/>
  <c r="Q37" i="22" s="1"/>
  <c r="C37" i="22"/>
  <c r="O37" i="22" s="1"/>
  <c r="H36" i="22"/>
  <c r="C36" i="22"/>
  <c r="P36" i="22" s="1"/>
  <c r="H35" i="22"/>
  <c r="C35" i="22"/>
  <c r="H34" i="22"/>
  <c r="C34" i="22"/>
  <c r="H33" i="22"/>
  <c r="C33" i="22"/>
  <c r="O33" i="22" s="1"/>
  <c r="H32" i="22"/>
  <c r="Q32" i="22" s="1"/>
  <c r="C32" i="22"/>
  <c r="M32" i="22" s="1"/>
  <c r="H31" i="22"/>
  <c r="C31" i="22"/>
  <c r="O31" i="22" s="1"/>
  <c r="H30" i="22"/>
  <c r="C30" i="22"/>
  <c r="O30" i="22" s="1"/>
  <c r="H29" i="22"/>
  <c r="C29" i="22"/>
  <c r="M29" i="22" s="1"/>
  <c r="H28" i="22"/>
  <c r="C28" i="22"/>
  <c r="Q28" i="22" s="1"/>
  <c r="S13" i="22"/>
  <c r="T13" i="22" s="1"/>
  <c r="Q13" i="22"/>
  <c r="R13" i="22" s="1"/>
  <c r="U13" i="22" s="1"/>
  <c r="G42" i="22"/>
  <c r="U12" i="22"/>
  <c r="T12" i="22"/>
  <c r="S12" i="22"/>
  <c r="G36" i="22"/>
  <c r="S10" i="22"/>
  <c r="T10" i="22" s="1"/>
  <c r="Q10" i="22"/>
  <c r="R10" i="22" s="1"/>
  <c r="U10" i="22" s="1"/>
  <c r="U9" i="22"/>
  <c r="T9" i="22"/>
  <c r="S9" i="22"/>
  <c r="S7" i="22"/>
  <c r="T7" i="22" s="1"/>
  <c r="Q7" i="22"/>
  <c r="R7" i="22" s="1"/>
  <c r="U7" i="22" s="1"/>
  <c r="G39" i="22"/>
  <c r="U6" i="22"/>
  <c r="T6" i="22"/>
  <c r="S6" i="22"/>
  <c r="G38" i="22"/>
  <c r="H42" i="21"/>
  <c r="Q42" i="21" s="1"/>
  <c r="C42" i="21"/>
  <c r="M42" i="21" s="1"/>
  <c r="H41" i="21"/>
  <c r="C41" i="21"/>
  <c r="O41" i="21" s="1"/>
  <c r="H40" i="21"/>
  <c r="C40" i="21"/>
  <c r="M40" i="21" s="1"/>
  <c r="H39" i="21"/>
  <c r="C39" i="21"/>
  <c r="H38" i="21"/>
  <c r="C38" i="21"/>
  <c r="Q38" i="21" s="1"/>
  <c r="H37" i="21"/>
  <c r="Q37" i="21" s="1"/>
  <c r="C37" i="21"/>
  <c r="O37" i="21" s="1"/>
  <c r="H36" i="21"/>
  <c r="C36" i="21"/>
  <c r="P36" i="21" s="1"/>
  <c r="H35" i="21"/>
  <c r="C35" i="21"/>
  <c r="H34" i="21"/>
  <c r="C34" i="21"/>
  <c r="R34" i="21" s="1"/>
  <c r="H33" i="21"/>
  <c r="C33" i="21"/>
  <c r="H32" i="21"/>
  <c r="Q32" i="21" s="1"/>
  <c r="C32" i="21"/>
  <c r="M32" i="21" s="1"/>
  <c r="H31" i="21"/>
  <c r="C31" i="21"/>
  <c r="O31" i="21" s="1"/>
  <c r="H30" i="21"/>
  <c r="C30" i="21"/>
  <c r="O30" i="21" s="1"/>
  <c r="H29" i="21"/>
  <c r="C29" i="21"/>
  <c r="Q29" i="21" s="1"/>
  <c r="H28" i="21"/>
  <c r="C28" i="21"/>
  <c r="Q28" i="21" s="1"/>
  <c r="S13" i="21"/>
  <c r="T13" i="21" s="1"/>
  <c r="Q13" i="21"/>
  <c r="R13" i="21" s="1"/>
  <c r="U13" i="21" s="1"/>
  <c r="U12" i="21"/>
  <c r="T12" i="21"/>
  <c r="S12" i="21"/>
  <c r="S10" i="21"/>
  <c r="T10" i="21" s="1"/>
  <c r="Q10" i="21"/>
  <c r="R10" i="21" s="1"/>
  <c r="U10" i="21" s="1"/>
  <c r="U9" i="21"/>
  <c r="T9" i="21"/>
  <c r="S9" i="21"/>
  <c r="G35" i="21"/>
  <c r="S7" i="21"/>
  <c r="T7" i="21" s="1"/>
  <c r="Q7" i="21"/>
  <c r="R7" i="21" s="1"/>
  <c r="U7" i="21" s="1"/>
  <c r="G39" i="21"/>
  <c r="U6" i="21"/>
  <c r="T6" i="21"/>
  <c r="S6" i="21"/>
  <c r="G38" i="21"/>
  <c r="H42" i="20"/>
  <c r="Q42" i="20" s="1"/>
  <c r="C42" i="20"/>
  <c r="M42" i="20" s="1"/>
  <c r="H41" i="20"/>
  <c r="C41" i="20"/>
  <c r="O41" i="20" s="1"/>
  <c r="H40" i="20"/>
  <c r="C40" i="20"/>
  <c r="O40" i="20" s="1"/>
  <c r="H39" i="20"/>
  <c r="C39" i="20"/>
  <c r="H38" i="20"/>
  <c r="C38" i="20"/>
  <c r="Q38" i="20" s="1"/>
  <c r="H37" i="20"/>
  <c r="Q37" i="20" s="1"/>
  <c r="C37" i="20"/>
  <c r="O37" i="20" s="1"/>
  <c r="H36" i="20"/>
  <c r="C36" i="20"/>
  <c r="H35" i="20"/>
  <c r="C35" i="20"/>
  <c r="H34" i="20"/>
  <c r="C34" i="20"/>
  <c r="R34" i="20" s="1"/>
  <c r="H33" i="20"/>
  <c r="C33" i="20"/>
  <c r="O33" i="20" s="1"/>
  <c r="H32" i="20"/>
  <c r="Q32" i="20" s="1"/>
  <c r="C32" i="20"/>
  <c r="M32" i="20" s="1"/>
  <c r="H31" i="20"/>
  <c r="C31" i="20"/>
  <c r="O31" i="20" s="1"/>
  <c r="H30" i="20"/>
  <c r="C30" i="20"/>
  <c r="O30" i="20" s="1"/>
  <c r="H29" i="20"/>
  <c r="C29" i="20"/>
  <c r="Q29" i="20" s="1"/>
  <c r="H28" i="20"/>
  <c r="C28" i="20"/>
  <c r="Q28" i="20" s="1"/>
  <c r="S13" i="20"/>
  <c r="T13" i="20" s="1"/>
  <c r="Q13" i="20"/>
  <c r="R13" i="20" s="1"/>
  <c r="U13" i="20" s="1"/>
  <c r="G42" i="20"/>
  <c r="U12" i="20"/>
  <c r="T12" i="20"/>
  <c r="S12" i="20"/>
  <c r="G36" i="20"/>
  <c r="S10" i="20"/>
  <c r="T10" i="20" s="1"/>
  <c r="Q10" i="20"/>
  <c r="R10" i="20" s="1"/>
  <c r="U10" i="20" s="1"/>
  <c r="U9" i="20"/>
  <c r="T9" i="20"/>
  <c r="S9" i="20"/>
  <c r="G35" i="20"/>
  <c r="S7" i="20"/>
  <c r="T7" i="20" s="1"/>
  <c r="Q7" i="20"/>
  <c r="R7" i="20" s="1"/>
  <c r="U7" i="20" s="1"/>
  <c r="G39" i="20"/>
  <c r="U6" i="20"/>
  <c r="T6" i="20"/>
  <c r="S6" i="20"/>
  <c r="G38" i="20"/>
  <c r="H42" i="19"/>
  <c r="Q42" i="19" s="1"/>
  <c r="C42" i="19"/>
  <c r="M42" i="19" s="1"/>
  <c r="P41" i="19"/>
  <c r="H41" i="19"/>
  <c r="C41" i="19"/>
  <c r="O41" i="19" s="1"/>
  <c r="H40" i="19"/>
  <c r="C40" i="19"/>
  <c r="O40" i="19" s="1"/>
  <c r="H39" i="19"/>
  <c r="C39" i="19"/>
  <c r="H38" i="19"/>
  <c r="C38" i="19"/>
  <c r="Q38" i="19" s="1"/>
  <c r="H37" i="19"/>
  <c r="Q37" i="19" s="1"/>
  <c r="C37" i="19"/>
  <c r="O37" i="19" s="1"/>
  <c r="H36" i="19"/>
  <c r="C36" i="19"/>
  <c r="P36" i="19" s="1"/>
  <c r="H35" i="19"/>
  <c r="C35" i="19"/>
  <c r="H34" i="19"/>
  <c r="O34" i="19" s="1"/>
  <c r="G34" i="19"/>
  <c r="I34" i="19" s="1"/>
  <c r="P34" i="19" s="1"/>
  <c r="C34" i="19"/>
  <c r="R34" i="19" s="1"/>
  <c r="H33" i="19"/>
  <c r="C33" i="19"/>
  <c r="H32" i="19"/>
  <c r="Q32" i="19" s="1"/>
  <c r="C32" i="19"/>
  <c r="M32" i="19" s="1"/>
  <c r="H31" i="19"/>
  <c r="C31" i="19"/>
  <c r="P31" i="19" s="1"/>
  <c r="H30" i="19"/>
  <c r="C30" i="19"/>
  <c r="O30" i="19" s="1"/>
  <c r="H29" i="19"/>
  <c r="C29" i="19"/>
  <c r="H28" i="19"/>
  <c r="C28" i="19"/>
  <c r="Q28" i="19" s="1"/>
  <c r="S13" i="19"/>
  <c r="T13" i="19" s="1"/>
  <c r="Q13" i="19"/>
  <c r="R13" i="19" s="1"/>
  <c r="U13" i="19" s="1"/>
  <c r="U12" i="19"/>
  <c r="T12" i="19"/>
  <c r="S12" i="19"/>
  <c r="G36" i="19"/>
  <c r="S10" i="19"/>
  <c r="T10" i="19" s="1"/>
  <c r="Q10" i="19"/>
  <c r="R10" i="19" s="1"/>
  <c r="U10" i="19" s="1"/>
  <c r="U9" i="19"/>
  <c r="T9" i="19"/>
  <c r="S9" i="19"/>
  <c r="G35" i="19"/>
  <c r="S7" i="19"/>
  <c r="T7" i="19" s="1"/>
  <c r="Q7" i="19"/>
  <c r="R7" i="19" s="1"/>
  <c r="U7" i="19" s="1"/>
  <c r="G39" i="19"/>
  <c r="U6" i="19"/>
  <c r="T6" i="19"/>
  <c r="S6" i="19"/>
  <c r="H42" i="18"/>
  <c r="Q42" i="18" s="1"/>
  <c r="C42" i="18"/>
  <c r="M42" i="18" s="1"/>
  <c r="H41" i="18"/>
  <c r="C41" i="18"/>
  <c r="P41" i="18" s="1"/>
  <c r="H40" i="18"/>
  <c r="C40" i="18"/>
  <c r="O40" i="18" s="1"/>
  <c r="H39" i="18"/>
  <c r="C39" i="18"/>
  <c r="Q39" i="18" s="1"/>
  <c r="H38" i="18"/>
  <c r="C38" i="18"/>
  <c r="Q38" i="18" s="1"/>
  <c r="H37" i="18"/>
  <c r="Q37" i="18" s="1"/>
  <c r="C37" i="18"/>
  <c r="N37" i="18" s="1"/>
  <c r="H36" i="18"/>
  <c r="C36" i="18"/>
  <c r="H35" i="18"/>
  <c r="C35" i="18"/>
  <c r="H34" i="18"/>
  <c r="C34" i="18"/>
  <c r="H33" i="18"/>
  <c r="C33" i="18"/>
  <c r="O33" i="18" s="1"/>
  <c r="H32" i="18"/>
  <c r="Q32" i="18" s="1"/>
  <c r="C32" i="18"/>
  <c r="M32" i="18" s="1"/>
  <c r="H31" i="18"/>
  <c r="C31" i="18"/>
  <c r="O31" i="18" s="1"/>
  <c r="H30" i="18"/>
  <c r="C30" i="18"/>
  <c r="O30" i="18" s="1"/>
  <c r="H29" i="18"/>
  <c r="C29" i="18"/>
  <c r="Q29" i="18" s="1"/>
  <c r="H28" i="18"/>
  <c r="C28" i="18"/>
  <c r="Q28" i="18" s="1"/>
  <c r="S13" i="18"/>
  <c r="T13" i="18" s="1"/>
  <c r="Q13" i="18"/>
  <c r="R13" i="18" s="1"/>
  <c r="U13" i="18" s="1"/>
  <c r="U12" i="18"/>
  <c r="T12" i="18"/>
  <c r="S12" i="18"/>
  <c r="G36" i="18"/>
  <c r="S10" i="18"/>
  <c r="T10" i="18" s="1"/>
  <c r="Q10" i="18"/>
  <c r="R10" i="18" s="1"/>
  <c r="U10" i="18" s="1"/>
  <c r="U9" i="18"/>
  <c r="T9" i="18"/>
  <c r="S9" i="18"/>
  <c r="S7" i="18"/>
  <c r="T7" i="18" s="1"/>
  <c r="Q7" i="18"/>
  <c r="R7" i="18" s="1"/>
  <c r="U7" i="18" s="1"/>
  <c r="U6" i="18"/>
  <c r="T6" i="18"/>
  <c r="S6" i="18"/>
  <c r="H42" i="17"/>
  <c r="Q42" i="17" s="1"/>
  <c r="C42" i="17"/>
  <c r="M42" i="17" s="1"/>
  <c r="H41" i="17"/>
  <c r="C41" i="17"/>
  <c r="O41" i="17" s="1"/>
  <c r="H40" i="17"/>
  <c r="C40" i="17"/>
  <c r="O40" i="17" s="1"/>
  <c r="H39" i="17"/>
  <c r="C39" i="17"/>
  <c r="H38" i="17"/>
  <c r="C38" i="17"/>
  <c r="Q38" i="17" s="1"/>
  <c r="H37" i="17"/>
  <c r="Q37" i="17" s="1"/>
  <c r="C37" i="17"/>
  <c r="O37" i="17" s="1"/>
  <c r="H36" i="17"/>
  <c r="C36" i="17"/>
  <c r="P36" i="17" s="1"/>
  <c r="H35" i="17"/>
  <c r="C35" i="17"/>
  <c r="H34" i="17"/>
  <c r="C34" i="17"/>
  <c r="R34" i="17" s="1"/>
  <c r="H33" i="17"/>
  <c r="C33" i="17"/>
  <c r="O33" i="17" s="1"/>
  <c r="H32" i="17"/>
  <c r="Q32" i="17" s="1"/>
  <c r="C32" i="17"/>
  <c r="M32" i="17" s="1"/>
  <c r="H31" i="17"/>
  <c r="C31" i="17"/>
  <c r="O31" i="17" s="1"/>
  <c r="H30" i="17"/>
  <c r="C30" i="17"/>
  <c r="O30" i="17" s="1"/>
  <c r="H29" i="17"/>
  <c r="C29" i="17"/>
  <c r="R29" i="17" s="1"/>
  <c r="H28" i="17"/>
  <c r="C28" i="17"/>
  <c r="Q28" i="17" s="1"/>
  <c r="S13" i="17"/>
  <c r="T13" i="17" s="1"/>
  <c r="Q13" i="17"/>
  <c r="R13" i="17" s="1"/>
  <c r="U13" i="17" s="1"/>
  <c r="U12" i="17"/>
  <c r="T12" i="17"/>
  <c r="S12" i="17"/>
  <c r="S10" i="17"/>
  <c r="T10" i="17" s="1"/>
  <c r="Q10" i="17"/>
  <c r="R10" i="17" s="1"/>
  <c r="U10" i="17" s="1"/>
  <c r="U9" i="17"/>
  <c r="T9" i="17"/>
  <c r="S9" i="17"/>
  <c r="G35" i="17"/>
  <c r="S7" i="17"/>
  <c r="T7" i="17" s="1"/>
  <c r="Q7" i="17"/>
  <c r="R7" i="17" s="1"/>
  <c r="U7" i="17" s="1"/>
  <c r="U6" i="17"/>
  <c r="T6" i="17"/>
  <c r="S6" i="17"/>
  <c r="G38" i="17"/>
  <c r="H42" i="16"/>
  <c r="Q42" i="16" s="1"/>
  <c r="C42" i="16"/>
  <c r="M42" i="16" s="1"/>
  <c r="H41" i="16"/>
  <c r="C41" i="16"/>
  <c r="O41" i="16" s="1"/>
  <c r="H40" i="16"/>
  <c r="C40" i="16"/>
  <c r="O40" i="16" s="1"/>
  <c r="H39" i="16"/>
  <c r="C39" i="16"/>
  <c r="H38" i="16"/>
  <c r="C38" i="16"/>
  <c r="Q38" i="16" s="1"/>
  <c r="H37" i="16"/>
  <c r="Q37" i="16" s="1"/>
  <c r="C37" i="16"/>
  <c r="O37" i="16" s="1"/>
  <c r="H36" i="16"/>
  <c r="C36" i="16"/>
  <c r="H35" i="16"/>
  <c r="C35" i="16"/>
  <c r="H34" i="16"/>
  <c r="C34" i="16"/>
  <c r="R34" i="16" s="1"/>
  <c r="H33" i="16"/>
  <c r="C33" i="16"/>
  <c r="O33" i="16" s="1"/>
  <c r="H32" i="16"/>
  <c r="Q32" i="16" s="1"/>
  <c r="C32" i="16"/>
  <c r="M32" i="16" s="1"/>
  <c r="H31" i="16"/>
  <c r="C31" i="16"/>
  <c r="O31" i="16" s="1"/>
  <c r="H30" i="16"/>
  <c r="C30" i="16"/>
  <c r="O30" i="16" s="1"/>
  <c r="H29" i="16"/>
  <c r="C29" i="16"/>
  <c r="M29" i="16" s="1"/>
  <c r="H28" i="16"/>
  <c r="C28" i="16"/>
  <c r="Q28" i="16" s="1"/>
  <c r="S13" i="16"/>
  <c r="T13" i="16" s="1"/>
  <c r="Q13" i="16"/>
  <c r="R13" i="16" s="1"/>
  <c r="U13" i="16" s="1"/>
  <c r="G42" i="16"/>
  <c r="U12" i="16"/>
  <c r="T12" i="16"/>
  <c r="S12" i="16"/>
  <c r="G36" i="16"/>
  <c r="S10" i="16"/>
  <c r="T10" i="16" s="1"/>
  <c r="Q10" i="16"/>
  <c r="R10" i="16" s="1"/>
  <c r="U10" i="16" s="1"/>
  <c r="U9" i="16"/>
  <c r="T9" i="16"/>
  <c r="S9" i="16"/>
  <c r="G40" i="16"/>
  <c r="I40" i="16" s="1"/>
  <c r="S7" i="16"/>
  <c r="T7" i="16" s="1"/>
  <c r="Q7" i="16"/>
  <c r="R7" i="16" s="1"/>
  <c r="U7" i="16" s="1"/>
  <c r="U6" i="16"/>
  <c r="T6" i="16"/>
  <c r="S6" i="16"/>
  <c r="H42" i="15"/>
  <c r="Q42" i="15" s="1"/>
  <c r="C42" i="15"/>
  <c r="M42" i="15" s="1"/>
  <c r="H41" i="15"/>
  <c r="C41" i="15"/>
  <c r="O41" i="15" s="1"/>
  <c r="H40" i="15"/>
  <c r="C40" i="15"/>
  <c r="H39" i="15"/>
  <c r="C39" i="15"/>
  <c r="R39" i="15" s="1"/>
  <c r="H38" i="15"/>
  <c r="C38" i="15"/>
  <c r="Q38" i="15" s="1"/>
  <c r="H37" i="15"/>
  <c r="Q37" i="15" s="1"/>
  <c r="C37" i="15"/>
  <c r="H36" i="15"/>
  <c r="C36" i="15"/>
  <c r="P36" i="15" s="1"/>
  <c r="H35" i="15"/>
  <c r="C35" i="15"/>
  <c r="H34" i="15"/>
  <c r="C34" i="15"/>
  <c r="R34" i="15" s="1"/>
  <c r="H33" i="15"/>
  <c r="C33" i="15"/>
  <c r="O33" i="15" s="1"/>
  <c r="H32" i="15"/>
  <c r="Q32" i="15" s="1"/>
  <c r="C32" i="15"/>
  <c r="M32" i="15" s="1"/>
  <c r="H31" i="15"/>
  <c r="C31" i="15"/>
  <c r="O31" i="15" s="1"/>
  <c r="H30" i="15"/>
  <c r="C30" i="15"/>
  <c r="O30" i="15" s="1"/>
  <c r="H29" i="15"/>
  <c r="C29" i="15"/>
  <c r="R29" i="15" s="1"/>
  <c r="H28" i="15"/>
  <c r="C28" i="15"/>
  <c r="Q28" i="15" s="1"/>
  <c r="S13" i="15"/>
  <c r="T13" i="15" s="1"/>
  <c r="Q13" i="15"/>
  <c r="R13" i="15" s="1"/>
  <c r="U13" i="15" s="1"/>
  <c r="U12" i="15"/>
  <c r="T12" i="15"/>
  <c r="S12" i="15"/>
  <c r="G36" i="15"/>
  <c r="S10" i="15"/>
  <c r="T10" i="15" s="1"/>
  <c r="Q10" i="15"/>
  <c r="R10" i="15" s="1"/>
  <c r="U10" i="15" s="1"/>
  <c r="U9" i="15"/>
  <c r="T9" i="15"/>
  <c r="S9" i="15"/>
  <c r="G35" i="15"/>
  <c r="S7" i="15"/>
  <c r="T7" i="15" s="1"/>
  <c r="Q7" i="15"/>
  <c r="R7" i="15" s="1"/>
  <c r="U7" i="15" s="1"/>
  <c r="G39" i="15"/>
  <c r="U6" i="15"/>
  <c r="T6" i="15"/>
  <c r="S6" i="15"/>
  <c r="H42" i="14"/>
  <c r="Q42" i="14" s="1"/>
  <c r="C42" i="14"/>
  <c r="M42" i="14" s="1"/>
  <c r="H41" i="14"/>
  <c r="C41" i="14"/>
  <c r="O41" i="14" s="1"/>
  <c r="H40" i="14"/>
  <c r="C40" i="14"/>
  <c r="O40" i="14" s="1"/>
  <c r="H39" i="14"/>
  <c r="C39" i="14"/>
  <c r="M39" i="14" s="1"/>
  <c r="H38" i="14"/>
  <c r="C38" i="14"/>
  <c r="Q38" i="14" s="1"/>
  <c r="H37" i="14"/>
  <c r="Q37" i="14" s="1"/>
  <c r="C37" i="14"/>
  <c r="H36" i="14"/>
  <c r="C36" i="14"/>
  <c r="P36" i="14" s="1"/>
  <c r="H35" i="14"/>
  <c r="C35" i="14"/>
  <c r="H34" i="14"/>
  <c r="C34" i="14"/>
  <c r="R34" i="14" s="1"/>
  <c r="H33" i="14"/>
  <c r="C33" i="14"/>
  <c r="O33" i="14" s="1"/>
  <c r="H32" i="14"/>
  <c r="Q32" i="14" s="1"/>
  <c r="C32" i="14"/>
  <c r="M32" i="14" s="1"/>
  <c r="H31" i="14"/>
  <c r="C31" i="14"/>
  <c r="P30" i="14"/>
  <c r="H30" i="14"/>
  <c r="C30" i="14"/>
  <c r="O30" i="14" s="1"/>
  <c r="H29" i="14"/>
  <c r="C29" i="14"/>
  <c r="M29" i="14" s="1"/>
  <c r="H28" i="14"/>
  <c r="C28" i="14"/>
  <c r="Q28" i="14" s="1"/>
  <c r="S13" i="14"/>
  <c r="T13" i="14" s="1"/>
  <c r="Q13" i="14"/>
  <c r="R13" i="14" s="1"/>
  <c r="U13" i="14" s="1"/>
  <c r="U12" i="14"/>
  <c r="T12" i="14"/>
  <c r="S12" i="14"/>
  <c r="G36" i="14"/>
  <c r="S10" i="14"/>
  <c r="T10" i="14" s="1"/>
  <c r="Q10" i="14"/>
  <c r="R10" i="14" s="1"/>
  <c r="U10" i="14" s="1"/>
  <c r="U9" i="14"/>
  <c r="T9" i="14"/>
  <c r="S9" i="14"/>
  <c r="S7" i="14"/>
  <c r="T7" i="14" s="1"/>
  <c r="Q7" i="14"/>
  <c r="R7" i="14" s="1"/>
  <c r="U7" i="14" s="1"/>
  <c r="G39" i="14"/>
  <c r="U6" i="14"/>
  <c r="T6" i="14"/>
  <c r="S6" i="14"/>
  <c r="H42" i="13"/>
  <c r="Q42" i="13" s="1"/>
  <c r="C42" i="13"/>
  <c r="M42" i="13" s="1"/>
  <c r="H41" i="13"/>
  <c r="C41" i="13"/>
  <c r="O41" i="13" s="1"/>
  <c r="H40" i="13"/>
  <c r="C40" i="13"/>
  <c r="O40" i="13" s="1"/>
  <c r="H39" i="13"/>
  <c r="C39" i="13"/>
  <c r="Q39" i="13" s="1"/>
  <c r="H38" i="13"/>
  <c r="C38" i="13"/>
  <c r="Q38" i="13" s="1"/>
  <c r="H37" i="13"/>
  <c r="Q37" i="13" s="1"/>
  <c r="C37" i="13"/>
  <c r="O37" i="13" s="1"/>
  <c r="H36" i="13"/>
  <c r="C36" i="13"/>
  <c r="P36" i="13" s="1"/>
  <c r="H35" i="13"/>
  <c r="C35" i="13"/>
  <c r="H34" i="13"/>
  <c r="C34" i="13"/>
  <c r="R34" i="13" s="1"/>
  <c r="H33" i="13"/>
  <c r="C33" i="13"/>
  <c r="O33" i="13" s="1"/>
  <c r="H32" i="13"/>
  <c r="Q32" i="13" s="1"/>
  <c r="C32" i="13"/>
  <c r="M32" i="13" s="1"/>
  <c r="H31" i="13"/>
  <c r="C31" i="13"/>
  <c r="O31" i="13" s="1"/>
  <c r="H30" i="13"/>
  <c r="C30" i="13"/>
  <c r="O30" i="13" s="1"/>
  <c r="H29" i="13"/>
  <c r="C29" i="13"/>
  <c r="Q29" i="13" s="1"/>
  <c r="H28" i="13"/>
  <c r="C28" i="13"/>
  <c r="Q28" i="13" s="1"/>
  <c r="S13" i="13"/>
  <c r="T13" i="13" s="1"/>
  <c r="Q13" i="13"/>
  <c r="R13" i="13" s="1"/>
  <c r="U13" i="13" s="1"/>
  <c r="U12" i="13"/>
  <c r="T12" i="13"/>
  <c r="S12" i="13"/>
  <c r="S10" i="13"/>
  <c r="T10" i="13" s="1"/>
  <c r="Q10" i="13"/>
  <c r="R10" i="13" s="1"/>
  <c r="U10" i="13" s="1"/>
  <c r="U9" i="13"/>
  <c r="T9" i="13"/>
  <c r="S9" i="13"/>
  <c r="G35" i="13"/>
  <c r="S7" i="13"/>
  <c r="T7" i="13" s="1"/>
  <c r="Q7" i="13"/>
  <c r="R7" i="13" s="1"/>
  <c r="U7" i="13" s="1"/>
  <c r="G39" i="13"/>
  <c r="U6" i="13"/>
  <c r="T6" i="13"/>
  <c r="S6" i="13"/>
  <c r="G38" i="13"/>
  <c r="H42" i="12"/>
  <c r="Q42" i="12" s="1"/>
  <c r="C42" i="12"/>
  <c r="M42" i="12" s="1"/>
  <c r="H41" i="12"/>
  <c r="C41" i="12"/>
  <c r="P41" i="12" s="1"/>
  <c r="H40" i="12"/>
  <c r="C40" i="12"/>
  <c r="H39" i="12"/>
  <c r="C39" i="12"/>
  <c r="Q39" i="12" s="1"/>
  <c r="H38" i="12"/>
  <c r="C38" i="12"/>
  <c r="Q38" i="12" s="1"/>
  <c r="H37" i="12"/>
  <c r="Q37" i="12" s="1"/>
  <c r="C37" i="12"/>
  <c r="N37" i="12" s="1"/>
  <c r="H36" i="12"/>
  <c r="C36" i="12"/>
  <c r="P36" i="12" s="1"/>
  <c r="H35" i="12"/>
  <c r="C35" i="12"/>
  <c r="H34" i="12"/>
  <c r="C34" i="12"/>
  <c r="R34" i="12" s="1"/>
  <c r="H33" i="12"/>
  <c r="C33" i="12"/>
  <c r="R33" i="12" s="1"/>
  <c r="H32" i="12"/>
  <c r="Q32" i="12" s="1"/>
  <c r="C32" i="12"/>
  <c r="M32" i="12" s="1"/>
  <c r="H31" i="12"/>
  <c r="C31" i="12"/>
  <c r="P31" i="12" s="1"/>
  <c r="H30" i="12"/>
  <c r="Q30" i="12" s="1"/>
  <c r="C30" i="12"/>
  <c r="O30" i="12" s="1"/>
  <c r="H29" i="12"/>
  <c r="C29" i="12"/>
  <c r="Q29" i="12" s="1"/>
  <c r="H28" i="12"/>
  <c r="C28" i="12"/>
  <c r="Q28" i="12" s="1"/>
  <c r="S13" i="12"/>
  <c r="T13" i="12" s="1"/>
  <c r="Q13" i="12"/>
  <c r="R13" i="12" s="1"/>
  <c r="U13" i="12" s="1"/>
  <c r="G42" i="12"/>
  <c r="U12" i="12"/>
  <c r="T12" i="12"/>
  <c r="S12" i="12"/>
  <c r="G36" i="12"/>
  <c r="S10" i="12"/>
  <c r="T10" i="12" s="1"/>
  <c r="Q10" i="12"/>
  <c r="R10" i="12" s="1"/>
  <c r="U10" i="12" s="1"/>
  <c r="U9" i="12"/>
  <c r="T9" i="12"/>
  <c r="S9" i="12"/>
  <c r="G35" i="12"/>
  <c r="S7" i="12"/>
  <c r="T7" i="12" s="1"/>
  <c r="Q7" i="12"/>
  <c r="R7" i="12" s="1"/>
  <c r="U7" i="12" s="1"/>
  <c r="G39" i="12"/>
  <c r="U6" i="12"/>
  <c r="T6" i="12"/>
  <c r="S6" i="12"/>
  <c r="G38" i="12"/>
  <c r="H42" i="11"/>
  <c r="Q42" i="11" s="1"/>
  <c r="C42" i="11"/>
  <c r="M42" i="11" s="1"/>
  <c r="H41" i="11"/>
  <c r="C41" i="11"/>
  <c r="O41" i="11" s="1"/>
  <c r="H40" i="11"/>
  <c r="C40" i="11"/>
  <c r="O40" i="11" s="1"/>
  <c r="H39" i="11"/>
  <c r="C39" i="11"/>
  <c r="M39" i="11" s="1"/>
  <c r="H38" i="11"/>
  <c r="C38" i="11"/>
  <c r="Q38" i="11" s="1"/>
  <c r="H37" i="11"/>
  <c r="Q37" i="11" s="1"/>
  <c r="C37" i="11"/>
  <c r="O37" i="11" s="1"/>
  <c r="H36" i="11"/>
  <c r="C36" i="11"/>
  <c r="P36" i="11" s="1"/>
  <c r="H35" i="11"/>
  <c r="C35" i="11"/>
  <c r="H34" i="11"/>
  <c r="C34" i="11"/>
  <c r="R34" i="11" s="1"/>
  <c r="H33" i="11"/>
  <c r="C33" i="11"/>
  <c r="O33" i="11" s="1"/>
  <c r="H32" i="11"/>
  <c r="Q32" i="11" s="1"/>
  <c r="C32" i="11"/>
  <c r="M32" i="11" s="1"/>
  <c r="H31" i="11"/>
  <c r="C31" i="11"/>
  <c r="O31" i="11" s="1"/>
  <c r="H30" i="11"/>
  <c r="C30" i="11"/>
  <c r="O30" i="11" s="1"/>
  <c r="H29" i="11"/>
  <c r="C29" i="11"/>
  <c r="M29" i="11" s="1"/>
  <c r="H28" i="11"/>
  <c r="C28" i="11"/>
  <c r="Q28" i="11" s="1"/>
  <c r="S13" i="11"/>
  <c r="T13" i="11" s="1"/>
  <c r="Q13" i="11"/>
  <c r="R13" i="11" s="1"/>
  <c r="U13" i="11" s="1"/>
  <c r="U12" i="11"/>
  <c r="T12" i="11"/>
  <c r="S12" i="11"/>
  <c r="G36" i="11"/>
  <c r="S10" i="11"/>
  <c r="T10" i="11" s="1"/>
  <c r="Q10" i="11"/>
  <c r="R10" i="11" s="1"/>
  <c r="U10" i="11" s="1"/>
  <c r="U9" i="11"/>
  <c r="T9" i="11"/>
  <c r="S9" i="11"/>
  <c r="S7" i="11"/>
  <c r="T7" i="11" s="1"/>
  <c r="Q7" i="11"/>
  <c r="R7" i="11" s="1"/>
  <c r="U7" i="11" s="1"/>
  <c r="G39" i="11"/>
  <c r="U6" i="11"/>
  <c r="T6" i="11"/>
  <c r="S6" i="11"/>
  <c r="B8" i="10"/>
  <c r="C30" i="10"/>
  <c r="K36" i="26" l="1"/>
  <c r="J36" i="26" s="1"/>
  <c r="Q36" i="20"/>
  <c r="G30" i="18"/>
  <c r="I30" i="18" s="1"/>
  <c r="Q36" i="14"/>
  <c r="Q35" i="20"/>
  <c r="P37" i="28"/>
  <c r="Q35" i="11"/>
  <c r="Q40" i="12"/>
  <c r="G40" i="19"/>
  <c r="I40" i="19" s="1"/>
  <c r="R40" i="19" s="1"/>
  <c r="P30" i="16"/>
  <c r="Q29" i="22"/>
  <c r="O34" i="14"/>
  <c r="Q34" i="14"/>
  <c r="P33" i="24"/>
  <c r="M36" i="25"/>
  <c r="Q31" i="26"/>
  <c r="Q30" i="18"/>
  <c r="Q40" i="19"/>
  <c r="Q31" i="20"/>
  <c r="Q33" i="24"/>
  <c r="M31" i="26"/>
  <c r="M36" i="19"/>
  <c r="M40" i="19"/>
  <c r="Q36" i="19"/>
  <c r="Q39" i="14"/>
  <c r="Q29" i="16"/>
  <c r="P40" i="16"/>
  <c r="O34" i="25"/>
  <c r="G30" i="11"/>
  <c r="I30" i="11" s="1"/>
  <c r="R30" i="11" s="1"/>
  <c r="P31" i="18"/>
  <c r="O40" i="21"/>
  <c r="M29" i="26"/>
  <c r="Q29" i="11"/>
  <c r="Q39" i="11"/>
  <c r="P30" i="12"/>
  <c r="P30" i="15"/>
  <c r="P37" i="16"/>
  <c r="M29" i="20"/>
  <c r="M36" i="20"/>
  <c r="M30" i="21"/>
  <c r="P33" i="22"/>
  <c r="G28" i="23"/>
  <c r="I28" i="23" s="1"/>
  <c r="N28" i="23" s="1"/>
  <c r="M29" i="24"/>
  <c r="M33" i="24"/>
  <c r="Q36" i="25"/>
  <c r="P40" i="26"/>
  <c r="P37" i="29"/>
  <c r="P40" i="13"/>
  <c r="P40" i="18"/>
  <c r="O31" i="19"/>
  <c r="O34" i="20"/>
  <c r="P37" i="20"/>
  <c r="P31" i="21"/>
  <c r="Q35" i="22"/>
  <c r="M33" i="23"/>
  <c r="M36" i="23"/>
  <c r="M37" i="24"/>
  <c r="G40" i="25"/>
  <c r="I40" i="25" s="1"/>
  <c r="R40" i="25" s="1"/>
  <c r="M33" i="26"/>
  <c r="P33" i="27"/>
  <c r="O39" i="27"/>
  <c r="P40" i="29"/>
  <c r="Q36" i="23"/>
  <c r="Q36" i="12"/>
  <c r="P37" i="17"/>
  <c r="Q40" i="18"/>
  <c r="P41" i="21"/>
  <c r="Q33" i="23"/>
  <c r="M39" i="24"/>
  <c r="Q33" i="26"/>
  <c r="M39" i="27"/>
  <c r="M29" i="28"/>
  <c r="M36" i="12"/>
  <c r="O34" i="17"/>
  <c r="M31" i="20"/>
  <c r="Q40" i="23"/>
  <c r="Q35" i="25"/>
  <c r="Q36" i="29"/>
  <c r="G33" i="15"/>
  <c r="K33" i="15" s="1"/>
  <c r="J33" i="15" s="1"/>
  <c r="O31" i="25"/>
  <c r="M37" i="26"/>
  <c r="G40" i="12"/>
  <c r="K40" i="12" s="1"/>
  <c r="J40" i="12" s="1"/>
  <c r="O36" i="14"/>
  <c r="O29" i="20"/>
  <c r="Q30" i="21"/>
  <c r="G33" i="21"/>
  <c r="K33" i="21" s="1"/>
  <c r="J33" i="21" s="1"/>
  <c r="Q40" i="24"/>
  <c r="P37" i="26"/>
  <c r="O34" i="28"/>
  <c r="O34" i="11"/>
  <c r="Q29" i="14"/>
  <c r="G33" i="11"/>
  <c r="I33" i="11" s="1"/>
  <c r="N33" i="11" s="1"/>
  <c r="P30" i="13"/>
  <c r="G40" i="13"/>
  <c r="I40" i="13" s="1"/>
  <c r="R40" i="13" s="1"/>
  <c r="Q39" i="15"/>
  <c r="Q35" i="16"/>
  <c r="O37" i="18"/>
  <c r="G30" i="21"/>
  <c r="K30" i="21" s="1"/>
  <c r="J30" i="21" s="1"/>
  <c r="M36" i="22"/>
  <c r="G30" i="23"/>
  <c r="K30" i="23" s="1"/>
  <c r="J30" i="23" s="1"/>
  <c r="P33" i="23"/>
  <c r="Q35" i="23"/>
  <c r="M40" i="23"/>
  <c r="K35" i="26"/>
  <c r="J35" i="26" s="1"/>
  <c r="P33" i="26"/>
  <c r="M40" i="26"/>
  <c r="G28" i="27"/>
  <c r="K28" i="27" s="1"/>
  <c r="J28" i="27" s="1"/>
  <c r="P30" i="11"/>
  <c r="Q36" i="11"/>
  <c r="Q35" i="12"/>
  <c r="M29" i="13"/>
  <c r="O29" i="14"/>
  <c r="Q35" i="14"/>
  <c r="Q36" i="17"/>
  <c r="Q35" i="19"/>
  <c r="Q34" i="20"/>
  <c r="O36" i="20"/>
  <c r="G37" i="22"/>
  <c r="I37" i="22" s="1"/>
  <c r="R37" i="22" s="1"/>
  <c r="Q41" i="23"/>
  <c r="G30" i="25"/>
  <c r="I30" i="25" s="1"/>
  <c r="R30" i="25" s="1"/>
  <c r="M39" i="28"/>
  <c r="P30" i="29"/>
  <c r="M36" i="29"/>
  <c r="O39" i="29"/>
  <c r="M39" i="13"/>
  <c r="P33" i="16"/>
  <c r="M36" i="17"/>
  <c r="M39" i="18"/>
  <c r="G30" i="19"/>
  <c r="I30" i="19" s="1"/>
  <c r="R30" i="19" s="1"/>
  <c r="G33" i="20"/>
  <c r="I33" i="20" s="1"/>
  <c r="N33" i="20" s="1"/>
  <c r="P36" i="20"/>
  <c r="Q36" i="21"/>
  <c r="M29" i="23"/>
  <c r="Q31" i="23"/>
  <c r="M41" i="23"/>
  <c r="Q30" i="25"/>
  <c r="O29" i="27"/>
  <c r="Q31" i="27"/>
  <c r="G37" i="27"/>
  <c r="K37" i="27" s="1"/>
  <c r="J37" i="27" s="1"/>
  <c r="Q36" i="28"/>
  <c r="O34" i="29"/>
  <c r="M39" i="29"/>
  <c r="O36" i="17"/>
  <c r="Q30" i="19"/>
  <c r="G33" i="19"/>
  <c r="K33" i="19" s="1"/>
  <c r="J33" i="19" s="1"/>
  <c r="P37" i="19"/>
  <c r="G34" i="21"/>
  <c r="I34" i="21" s="1"/>
  <c r="P34" i="21" s="1"/>
  <c r="M36" i="21"/>
  <c r="P37" i="22"/>
  <c r="M31" i="23"/>
  <c r="M34" i="23"/>
  <c r="O41" i="23"/>
  <c r="G37" i="24"/>
  <c r="I37" i="24" s="1"/>
  <c r="R37" i="24" s="1"/>
  <c r="M30" i="25"/>
  <c r="O34" i="26"/>
  <c r="M29" i="27"/>
  <c r="M31" i="27"/>
  <c r="M36" i="28"/>
  <c r="Q35" i="29"/>
  <c r="P36" i="29"/>
  <c r="G30" i="17"/>
  <c r="I30" i="17" s="1"/>
  <c r="R30" i="17" s="1"/>
  <c r="O37" i="12"/>
  <c r="G33" i="12"/>
  <c r="I33" i="12" s="1"/>
  <c r="G30" i="13"/>
  <c r="I30" i="13" s="1"/>
  <c r="P33" i="14"/>
  <c r="O29" i="15"/>
  <c r="O39" i="15"/>
  <c r="M30" i="16"/>
  <c r="P40" i="17"/>
  <c r="M30" i="19"/>
  <c r="P33" i="20"/>
  <c r="P40" i="20"/>
  <c r="O34" i="21"/>
  <c r="G33" i="23"/>
  <c r="K33" i="23" s="1"/>
  <c r="J33" i="23" s="1"/>
  <c r="O34" i="23"/>
  <c r="G40" i="23"/>
  <c r="I40" i="23" s="1"/>
  <c r="R40" i="23" s="1"/>
  <c r="P30" i="25"/>
  <c r="G33" i="25"/>
  <c r="I33" i="25" s="1"/>
  <c r="N33" i="25" s="1"/>
  <c r="Q34" i="26"/>
  <c r="G30" i="29"/>
  <c r="P40" i="11"/>
  <c r="M39" i="12"/>
  <c r="M36" i="13"/>
  <c r="O39" i="14"/>
  <c r="M29" i="15"/>
  <c r="M39" i="15"/>
  <c r="M37" i="18"/>
  <c r="Q34" i="23"/>
  <c r="Q40" i="25"/>
  <c r="P40" i="28"/>
  <c r="G33" i="29"/>
  <c r="I33" i="29" s="1"/>
  <c r="N33" i="29" s="1"/>
  <c r="P36" i="18"/>
  <c r="Q36" i="18"/>
  <c r="M36" i="18"/>
  <c r="O33" i="19"/>
  <c r="Q33" i="19"/>
  <c r="P33" i="19"/>
  <c r="O33" i="21"/>
  <c r="Q33" i="21"/>
  <c r="P33" i="21"/>
  <c r="O37" i="27"/>
  <c r="P37" i="27"/>
  <c r="M29" i="12"/>
  <c r="M33" i="12"/>
  <c r="O34" i="12"/>
  <c r="O41" i="12"/>
  <c r="Q36" i="13"/>
  <c r="O37" i="14"/>
  <c r="P37" i="14"/>
  <c r="R39" i="17"/>
  <c r="Q39" i="17"/>
  <c r="M39" i="17"/>
  <c r="Q39" i="21"/>
  <c r="M39" i="21"/>
  <c r="O31" i="14"/>
  <c r="M31" i="14"/>
  <c r="M40" i="12"/>
  <c r="R34" i="18"/>
  <c r="O34" i="18"/>
  <c r="Q39" i="19"/>
  <c r="M39" i="19"/>
  <c r="G35" i="24"/>
  <c r="K35" i="24" s="1"/>
  <c r="J35" i="24" s="1"/>
  <c r="G40" i="24"/>
  <c r="I40" i="24" s="1"/>
  <c r="R40" i="24" s="1"/>
  <c r="G30" i="24"/>
  <c r="I30" i="24" s="1"/>
  <c r="R30" i="24" s="1"/>
  <c r="G37" i="11"/>
  <c r="I37" i="11" s="1"/>
  <c r="R37" i="11" s="1"/>
  <c r="P33" i="12"/>
  <c r="G37" i="12"/>
  <c r="I37" i="12" s="1"/>
  <c r="R37" i="12" s="1"/>
  <c r="O40" i="12"/>
  <c r="O34" i="13"/>
  <c r="G38" i="14"/>
  <c r="I38" i="14" s="1"/>
  <c r="N38" i="14" s="1"/>
  <c r="G28" i="14"/>
  <c r="I28" i="14" s="1"/>
  <c r="N28" i="14" s="1"/>
  <c r="G35" i="14"/>
  <c r="K35" i="14" s="1"/>
  <c r="J35" i="14" s="1"/>
  <c r="G30" i="14"/>
  <c r="I30" i="14" s="1"/>
  <c r="R30" i="14" s="1"/>
  <c r="G40" i="14"/>
  <c r="K40" i="14" s="1"/>
  <c r="J40" i="14" s="1"/>
  <c r="G33" i="14"/>
  <c r="G38" i="16"/>
  <c r="K38" i="16" s="1"/>
  <c r="J38" i="16" s="1"/>
  <c r="G33" i="16"/>
  <c r="I33" i="16" s="1"/>
  <c r="N33" i="16" s="1"/>
  <c r="Q39" i="16"/>
  <c r="M39" i="16"/>
  <c r="G39" i="18"/>
  <c r="I39" i="18" s="1"/>
  <c r="P39" i="18" s="1"/>
  <c r="G34" i="18"/>
  <c r="I34" i="18" s="1"/>
  <c r="P34" i="18" s="1"/>
  <c r="Q39" i="20"/>
  <c r="M39" i="20"/>
  <c r="G35" i="22"/>
  <c r="I35" i="22" s="1"/>
  <c r="R35" i="22" s="1"/>
  <c r="G30" i="22"/>
  <c r="I30" i="22" s="1"/>
  <c r="G40" i="22"/>
  <c r="I40" i="22" s="1"/>
  <c r="R40" i="22" s="1"/>
  <c r="G34" i="25"/>
  <c r="I34" i="25" s="1"/>
  <c r="P34" i="25" s="1"/>
  <c r="Q36" i="26"/>
  <c r="N36" i="26"/>
  <c r="G33" i="26"/>
  <c r="I33" i="26" s="1"/>
  <c r="N33" i="26" s="1"/>
  <c r="G38" i="26"/>
  <c r="G28" i="26"/>
  <c r="I28" i="26" s="1"/>
  <c r="N28" i="26" s="1"/>
  <c r="G42" i="15"/>
  <c r="I42" i="15" s="1"/>
  <c r="R42" i="15" s="1"/>
  <c r="G37" i="15"/>
  <c r="I37" i="15" s="1"/>
  <c r="R37" i="15" s="1"/>
  <c r="P33" i="11"/>
  <c r="G40" i="11"/>
  <c r="K40" i="11" s="1"/>
  <c r="J40" i="11" s="1"/>
  <c r="O31" i="12"/>
  <c r="Q33" i="12"/>
  <c r="P40" i="12"/>
  <c r="Q35" i="13"/>
  <c r="G35" i="16"/>
  <c r="I35" i="16" s="1"/>
  <c r="R35" i="16" s="1"/>
  <c r="G30" i="16"/>
  <c r="I30" i="16" s="1"/>
  <c r="R30" i="16" s="1"/>
  <c r="Q29" i="19"/>
  <c r="M29" i="19"/>
  <c r="Q40" i="21"/>
  <c r="O33" i="12"/>
  <c r="P37" i="11"/>
  <c r="G30" i="12"/>
  <c r="K30" i="12" s="1"/>
  <c r="J30" i="12" s="1"/>
  <c r="M37" i="12"/>
  <c r="G33" i="13"/>
  <c r="I33" i="13" s="1"/>
  <c r="N33" i="13" s="1"/>
  <c r="G37" i="13"/>
  <c r="K37" i="13" s="1"/>
  <c r="J37" i="13" s="1"/>
  <c r="G42" i="19"/>
  <c r="I42" i="19" s="1"/>
  <c r="R42" i="19" s="1"/>
  <c r="G37" i="19"/>
  <c r="K37" i="19" s="1"/>
  <c r="J37" i="19" s="1"/>
  <c r="O33" i="25"/>
  <c r="Q33" i="25"/>
  <c r="P33" i="25"/>
  <c r="G38" i="28"/>
  <c r="I38" i="28" s="1"/>
  <c r="N38" i="28" s="1"/>
  <c r="G33" i="28"/>
  <c r="I33" i="28" s="1"/>
  <c r="N33" i="28" s="1"/>
  <c r="G35" i="28"/>
  <c r="I35" i="28" s="1"/>
  <c r="R35" i="28" s="1"/>
  <c r="G40" i="28"/>
  <c r="K40" i="28" s="1"/>
  <c r="J40" i="28" s="1"/>
  <c r="G30" i="28"/>
  <c r="I30" i="28" s="1"/>
  <c r="R30" i="28" s="1"/>
  <c r="O40" i="15"/>
  <c r="P40" i="15"/>
  <c r="P36" i="16"/>
  <c r="Q36" i="16"/>
  <c r="M36" i="16"/>
  <c r="R34" i="22"/>
  <c r="O34" i="22"/>
  <c r="Q29" i="29"/>
  <c r="M29" i="29"/>
  <c r="M36" i="11"/>
  <c r="M30" i="12"/>
  <c r="G34" i="12"/>
  <c r="I34" i="12" s="1"/>
  <c r="P34" i="12" s="1"/>
  <c r="P37" i="12"/>
  <c r="P33" i="13"/>
  <c r="P37" i="13"/>
  <c r="O37" i="15"/>
  <c r="P37" i="15"/>
  <c r="P31" i="24"/>
  <c r="O31" i="24"/>
  <c r="Q29" i="25"/>
  <c r="M29" i="25"/>
  <c r="O33" i="29"/>
  <c r="P33" i="29"/>
  <c r="Q31" i="14"/>
  <c r="G37" i="14"/>
  <c r="I37" i="14" s="1"/>
  <c r="R37" i="14" s="1"/>
  <c r="O39" i="17"/>
  <c r="O39" i="20"/>
  <c r="O29" i="29"/>
  <c r="Q29" i="15"/>
  <c r="P33" i="15"/>
  <c r="G40" i="15"/>
  <c r="I40" i="15" s="1"/>
  <c r="R40" i="15" s="1"/>
  <c r="P30" i="17"/>
  <c r="Q35" i="17"/>
  <c r="M30" i="18"/>
  <c r="P37" i="18"/>
  <c r="P30" i="19"/>
  <c r="M33" i="19"/>
  <c r="P40" i="19"/>
  <c r="G28" i="20"/>
  <c r="K28" i="20" s="1"/>
  <c r="J28" i="20" s="1"/>
  <c r="P30" i="21"/>
  <c r="M33" i="21"/>
  <c r="G37" i="21"/>
  <c r="I37" i="21" s="1"/>
  <c r="R37" i="21" s="1"/>
  <c r="P40" i="21"/>
  <c r="O36" i="22"/>
  <c r="P40" i="22"/>
  <c r="O31" i="23"/>
  <c r="G37" i="23"/>
  <c r="K37" i="23" s="1"/>
  <c r="J37" i="23" s="1"/>
  <c r="P40" i="23"/>
  <c r="P37" i="24"/>
  <c r="M33" i="25"/>
  <c r="O40" i="25"/>
  <c r="O31" i="26"/>
  <c r="G34" i="26"/>
  <c r="Q41" i="26"/>
  <c r="Q35" i="28"/>
  <c r="Q39" i="29"/>
  <c r="Q36" i="15"/>
  <c r="O34" i="16"/>
  <c r="O29" i="17"/>
  <c r="G33" i="17"/>
  <c r="I33" i="17" s="1"/>
  <c r="N33" i="17" s="1"/>
  <c r="P30" i="18"/>
  <c r="G33" i="18"/>
  <c r="I33" i="18" s="1"/>
  <c r="N33" i="18" s="1"/>
  <c r="G40" i="18"/>
  <c r="K40" i="18" s="1"/>
  <c r="J40" i="18" s="1"/>
  <c r="G30" i="20"/>
  <c r="K30" i="20" s="1"/>
  <c r="J30" i="20" s="1"/>
  <c r="M29" i="21"/>
  <c r="Q36" i="22"/>
  <c r="O39" i="22"/>
  <c r="Q30" i="23"/>
  <c r="M39" i="23"/>
  <c r="G34" i="24"/>
  <c r="I34" i="24" s="1"/>
  <c r="P34" i="24" s="1"/>
  <c r="Q36" i="24"/>
  <c r="O41" i="24"/>
  <c r="G37" i="25"/>
  <c r="I37" i="25" s="1"/>
  <c r="R37" i="25" s="1"/>
  <c r="M39" i="25"/>
  <c r="P40" i="25"/>
  <c r="K39" i="26"/>
  <c r="J39" i="26" s="1"/>
  <c r="Q30" i="26"/>
  <c r="M41" i="26"/>
  <c r="I28" i="27"/>
  <c r="N28" i="27" s="1"/>
  <c r="G30" i="27"/>
  <c r="I30" i="27" s="1"/>
  <c r="R30" i="27" s="1"/>
  <c r="M34" i="27"/>
  <c r="G40" i="27"/>
  <c r="I40" i="27" s="1"/>
  <c r="R40" i="27" s="1"/>
  <c r="M36" i="15"/>
  <c r="M29" i="17"/>
  <c r="M29" i="18"/>
  <c r="M33" i="18"/>
  <c r="Q35" i="18"/>
  <c r="O41" i="18"/>
  <c r="G37" i="20"/>
  <c r="K37" i="20" s="1"/>
  <c r="J37" i="20" s="1"/>
  <c r="M37" i="21"/>
  <c r="G33" i="22"/>
  <c r="I33" i="22" s="1"/>
  <c r="N33" i="22" s="1"/>
  <c r="M39" i="22"/>
  <c r="M30" i="23"/>
  <c r="G34" i="23"/>
  <c r="I34" i="23" s="1"/>
  <c r="P34" i="23" s="1"/>
  <c r="M37" i="23"/>
  <c r="Q30" i="24"/>
  <c r="M36" i="24"/>
  <c r="M30" i="26"/>
  <c r="O41" i="26"/>
  <c r="O34" i="27"/>
  <c r="M36" i="27"/>
  <c r="P30" i="28"/>
  <c r="G37" i="28"/>
  <c r="I37" i="28" s="1"/>
  <c r="R37" i="28" s="1"/>
  <c r="G37" i="29"/>
  <c r="I37" i="29" s="1"/>
  <c r="R37" i="29" s="1"/>
  <c r="M34" i="14"/>
  <c r="M36" i="14"/>
  <c r="P40" i="14"/>
  <c r="N42" i="14"/>
  <c r="G30" i="15"/>
  <c r="I30" i="15" s="1"/>
  <c r="R30" i="15" s="1"/>
  <c r="O34" i="15"/>
  <c r="O36" i="15"/>
  <c r="Q29" i="17"/>
  <c r="P33" i="17"/>
  <c r="G37" i="17"/>
  <c r="K37" i="17" s="1"/>
  <c r="J37" i="17" s="1"/>
  <c r="P33" i="18"/>
  <c r="M40" i="18"/>
  <c r="M37" i="19"/>
  <c r="P30" i="20"/>
  <c r="M34" i="20"/>
  <c r="P37" i="21"/>
  <c r="P30" i="22"/>
  <c r="P30" i="23"/>
  <c r="P37" i="23"/>
  <c r="M30" i="24"/>
  <c r="G33" i="24"/>
  <c r="K33" i="24" s="1"/>
  <c r="J33" i="24" s="1"/>
  <c r="O34" i="24"/>
  <c r="M40" i="24"/>
  <c r="M37" i="25"/>
  <c r="P30" i="26"/>
  <c r="Q40" i="26"/>
  <c r="P30" i="27"/>
  <c r="G33" i="27"/>
  <c r="K33" i="27" s="1"/>
  <c r="J33" i="27" s="1"/>
  <c r="Q34" i="27"/>
  <c r="O36" i="27"/>
  <c r="P40" i="27"/>
  <c r="P33" i="28"/>
  <c r="G40" i="29"/>
  <c r="I40" i="29" s="1"/>
  <c r="R40" i="29" s="1"/>
  <c r="G37" i="16"/>
  <c r="K37" i="16" s="1"/>
  <c r="J37" i="16" s="1"/>
  <c r="G40" i="17"/>
  <c r="I40" i="17" s="1"/>
  <c r="R40" i="17" s="1"/>
  <c r="Q33" i="18"/>
  <c r="G37" i="18"/>
  <c r="I37" i="18" s="1"/>
  <c r="R37" i="18" s="1"/>
  <c r="G40" i="20"/>
  <c r="I40" i="20" s="1"/>
  <c r="R40" i="20" s="1"/>
  <c r="G40" i="21"/>
  <c r="I40" i="21" s="1"/>
  <c r="R40" i="21" s="1"/>
  <c r="P30" i="24"/>
  <c r="Q35" i="24"/>
  <c r="P40" i="24"/>
  <c r="P37" i="25"/>
  <c r="M34" i="26"/>
  <c r="Q35" i="27"/>
  <c r="Q36" i="27"/>
  <c r="K30" i="29"/>
  <c r="J30" i="29" s="1"/>
  <c r="Q35" i="21"/>
  <c r="I38" i="29"/>
  <c r="N38" i="29" s="1"/>
  <c r="K38" i="29"/>
  <c r="J38" i="29" s="1"/>
  <c r="K39" i="29"/>
  <c r="J39" i="29" s="1"/>
  <c r="I39" i="29"/>
  <c r="P39" i="29" s="1"/>
  <c r="K35" i="29"/>
  <c r="J35" i="29" s="1"/>
  <c r="I35" i="29"/>
  <c r="R35" i="29" s="1"/>
  <c r="K36" i="29"/>
  <c r="J36" i="29" s="1"/>
  <c r="I36" i="29"/>
  <c r="R36" i="29" s="1"/>
  <c r="K42" i="29"/>
  <c r="J42" i="29" s="1"/>
  <c r="I42" i="29"/>
  <c r="R42" i="29" s="1"/>
  <c r="R38" i="29"/>
  <c r="O28" i="29"/>
  <c r="N29" i="29"/>
  <c r="R29" i="29"/>
  <c r="M30" i="29"/>
  <c r="Q30" i="29"/>
  <c r="G31" i="29"/>
  <c r="P31" i="29"/>
  <c r="O32" i="29"/>
  <c r="M33" i="29"/>
  <c r="Q33" i="29"/>
  <c r="G34" i="29"/>
  <c r="O35" i="29"/>
  <c r="N36" i="29"/>
  <c r="M37" i="29"/>
  <c r="O38" i="29"/>
  <c r="N39" i="29"/>
  <c r="M40" i="29"/>
  <c r="Q40" i="29"/>
  <c r="G41" i="29"/>
  <c r="P41" i="29"/>
  <c r="O42" i="29"/>
  <c r="R28" i="29"/>
  <c r="G28" i="29"/>
  <c r="P28" i="29"/>
  <c r="I30" i="29"/>
  <c r="R30" i="29" s="1"/>
  <c r="N30" i="29"/>
  <c r="M31" i="29"/>
  <c r="Q31" i="29"/>
  <c r="G32" i="29"/>
  <c r="P32" i="29"/>
  <c r="R33" i="29"/>
  <c r="M34" i="29"/>
  <c r="Q34" i="29"/>
  <c r="P35" i="29"/>
  <c r="N37" i="29"/>
  <c r="P38" i="29"/>
  <c r="N40" i="29"/>
  <c r="M41" i="29"/>
  <c r="Q41" i="29"/>
  <c r="P42" i="29"/>
  <c r="N32" i="29"/>
  <c r="N35" i="29"/>
  <c r="N42" i="29"/>
  <c r="M28" i="29"/>
  <c r="G29" i="29"/>
  <c r="N31" i="29"/>
  <c r="N34" i="29"/>
  <c r="M35" i="29"/>
  <c r="M38" i="29"/>
  <c r="N41" i="29"/>
  <c r="K39" i="28"/>
  <c r="J39" i="28" s="1"/>
  <c r="I39" i="28"/>
  <c r="P39" i="28" s="1"/>
  <c r="K36" i="28"/>
  <c r="J36" i="28" s="1"/>
  <c r="I36" i="28"/>
  <c r="R36" i="28" s="1"/>
  <c r="K42" i="28"/>
  <c r="J42" i="28" s="1"/>
  <c r="I42" i="28"/>
  <c r="R42" i="28" s="1"/>
  <c r="O28" i="28"/>
  <c r="N29" i="28"/>
  <c r="R29" i="28"/>
  <c r="M30" i="28"/>
  <c r="Q30" i="28"/>
  <c r="G31" i="28"/>
  <c r="P31" i="28"/>
  <c r="O32" i="28"/>
  <c r="M33" i="28"/>
  <c r="Q33" i="28"/>
  <c r="G34" i="28"/>
  <c r="O35" i="28"/>
  <c r="N36" i="28"/>
  <c r="M37" i="28"/>
  <c r="O38" i="28"/>
  <c r="N39" i="28"/>
  <c r="R39" i="28"/>
  <c r="M40" i="28"/>
  <c r="Q40" i="28"/>
  <c r="G41" i="28"/>
  <c r="P41" i="28"/>
  <c r="O42" i="28"/>
  <c r="R28" i="28"/>
  <c r="N32" i="28"/>
  <c r="N35" i="28"/>
  <c r="G28" i="28"/>
  <c r="P28" i="28"/>
  <c r="O29" i="28"/>
  <c r="N30" i="28"/>
  <c r="M31" i="28"/>
  <c r="Q31" i="28"/>
  <c r="G32" i="28"/>
  <c r="P32" i="28"/>
  <c r="R33" i="28"/>
  <c r="M34" i="28"/>
  <c r="Q34" i="28"/>
  <c r="P35" i="28"/>
  <c r="O36" i="28"/>
  <c r="N37" i="28"/>
  <c r="P38" i="28"/>
  <c r="O39" i="28"/>
  <c r="N40" i="28"/>
  <c r="M41" i="28"/>
  <c r="Q41" i="28"/>
  <c r="P42" i="28"/>
  <c r="R38" i="28"/>
  <c r="N42" i="28"/>
  <c r="M28" i="28"/>
  <c r="G29" i="28"/>
  <c r="N31" i="28"/>
  <c r="N34" i="28"/>
  <c r="M35" i="28"/>
  <c r="M38" i="28"/>
  <c r="N41" i="28"/>
  <c r="K36" i="27"/>
  <c r="J36" i="27" s="1"/>
  <c r="I36" i="27"/>
  <c r="I38" i="27"/>
  <c r="N38" i="27" s="1"/>
  <c r="K38" i="27"/>
  <c r="J38" i="27" s="1"/>
  <c r="K39" i="27"/>
  <c r="J39" i="27" s="1"/>
  <c r="I39" i="27"/>
  <c r="P39" i="27" s="1"/>
  <c r="K35" i="27"/>
  <c r="J35" i="27" s="1"/>
  <c r="I35" i="27"/>
  <c r="R35" i="27" s="1"/>
  <c r="I42" i="27"/>
  <c r="R42" i="27" s="1"/>
  <c r="K42" i="27"/>
  <c r="J42" i="27" s="1"/>
  <c r="N35" i="27"/>
  <c r="N42" i="27"/>
  <c r="O28" i="27"/>
  <c r="N29" i="27"/>
  <c r="R29" i="27"/>
  <c r="M30" i="27"/>
  <c r="Q30" i="27"/>
  <c r="G31" i="27"/>
  <c r="P31" i="27"/>
  <c r="O32" i="27"/>
  <c r="M33" i="27"/>
  <c r="Q33" i="27"/>
  <c r="G34" i="27"/>
  <c r="O35" i="27"/>
  <c r="N36" i="27"/>
  <c r="R36" i="27"/>
  <c r="M37" i="27"/>
  <c r="O38" i="27"/>
  <c r="N39" i="27"/>
  <c r="R39" i="27"/>
  <c r="M40" i="27"/>
  <c r="Q40" i="27"/>
  <c r="G41" i="27"/>
  <c r="P41" i="27"/>
  <c r="O42" i="27"/>
  <c r="P28" i="27"/>
  <c r="N30" i="27"/>
  <c r="G32" i="27"/>
  <c r="P32" i="27"/>
  <c r="R33" i="27"/>
  <c r="P35" i="27"/>
  <c r="I37" i="27"/>
  <c r="R37" i="27" s="1"/>
  <c r="N37" i="27"/>
  <c r="P38" i="27"/>
  <c r="N40" i="27"/>
  <c r="M41" i="27"/>
  <c r="Q41" i="27"/>
  <c r="P42" i="27"/>
  <c r="R28" i="27"/>
  <c r="N32" i="27"/>
  <c r="R38" i="27"/>
  <c r="M28" i="27"/>
  <c r="G29" i="27"/>
  <c r="N31" i="27"/>
  <c r="N34" i="27"/>
  <c r="M35" i="27"/>
  <c r="M38" i="27"/>
  <c r="N41" i="27"/>
  <c r="I37" i="26"/>
  <c r="R37" i="26" s="1"/>
  <c r="K37" i="26"/>
  <c r="J37" i="26" s="1"/>
  <c r="I39" i="26"/>
  <c r="P39" i="26" s="1"/>
  <c r="M32" i="26"/>
  <c r="P32" i="26"/>
  <c r="O39" i="26"/>
  <c r="I36" i="26"/>
  <c r="R36" i="26" s="1"/>
  <c r="G42" i="26"/>
  <c r="G32" i="26"/>
  <c r="O29" i="26"/>
  <c r="Q38" i="26"/>
  <c r="M38" i="26"/>
  <c r="P38" i="26"/>
  <c r="M39" i="26"/>
  <c r="Q28" i="26"/>
  <c r="M28" i="26"/>
  <c r="P28" i="26"/>
  <c r="O28" i="26"/>
  <c r="Q29" i="26"/>
  <c r="G30" i="26"/>
  <c r="G31" i="26"/>
  <c r="N32" i="26"/>
  <c r="I35" i="26"/>
  <c r="R35" i="26" s="1"/>
  <c r="N39" i="26"/>
  <c r="M42" i="26"/>
  <c r="P42" i="26"/>
  <c r="R28" i="26"/>
  <c r="R29" i="26"/>
  <c r="O32" i="26"/>
  <c r="Q35" i="26"/>
  <c r="M35" i="26"/>
  <c r="P35" i="26"/>
  <c r="P36" i="26"/>
  <c r="O36" i="26"/>
  <c r="M36" i="26"/>
  <c r="O38" i="26"/>
  <c r="Q39" i="26"/>
  <c r="G40" i="26"/>
  <c r="G41" i="26"/>
  <c r="N42" i="26"/>
  <c r="N30" i="26"/>
  <c r="R33" i="26"/>
  <c r="N37" i="26"/>
  <c r="N40" i="26"/>
  <c r="G29" i="26"/>
  <c r="N31" i="26"/>
  <c r="N34" i="26"/>
  <c r="N41" i="26"/>
  <c r="I38" i="25"/>
  <c r="N38" i="25" s="1"/>
  <c r="K38" i="25"/>
  <c r="J38" i="25" s="1"/>
  <c r="K39" i="25"/>
  <c r="J39" i="25" s="1"/>
  <c r="I39" i="25"/>
  <c r="P39" i="25" s="1"/>
  <c r="I35" i="25"/>
  <c r="R35" i="25" s="1"/>
  <c r="K35" i="25"/>
  <c r="J35" i="25" s="1"/>
  <c r="K36" i="25"/>
  <c r="J36" i="25" s="1"/>
  <c r="I36" i="25"/>
  <c r="R36" i="25" s="1"/>
  <c r="I42" i="25"/>
  <c r="R42" i="25" s="1"/>
  <c r="K42" i="25"/>
  <c r="J42" i="25" s="1"/>
  <c r="N35" i="25"/>
  <c r="N42" i="25"/>
  <c r="O28" i="25"/>
  <c r="R29" i="25"/>
  <c r="G31" i="25"/>
  <c r="O35" i="25"/>
  <c r="N36" i="25"/>
  <c r="O38" i="25"/>
  <c r="G41" i="25"/>
  <c r="O42" i="25"/>
  <c r="G28" i="25"/>
  <c r="P28" i="25"/>
  <c r="O29" i="25"/>
  <c r="N30" i="25"/>
  <c r="M31" i="25"/>
  <c r="Q31" i="25"/>
  <c r="G32" i="25"/>
  <c r="P32" i="25"/>
  <c r="R33" i="25"/>
  <c r="M34" i="25"/>
  <c r="Q34" i="25"/>
  <c r="P35" i="25"/>
  <c r="O36" i="25"/>
  <c r="N37" i="25"/>
  <c r="P38" i="25"/>
  <c r="O39" i="25"/>
  <c r="N40" i="25"/>
  <c r="M41" i="25"/>
  <c r="Q41" i="25"/>
  <c r="P42" i="25"/>
  <c r="R28" i="25"/>
  <c r="N32" i="25"/>
  <c r="R38" i="25"/>
  <c r="N29" i="25"/>
  <c r="O32" i="25"/>
  <c r="K34" i="25"/>
  <c r="J34" i="25" s="1"/>
  <c r="N39" i="25"/>
  <c r="R39" i="25"/>
  <c r="M28" i="25"/>
  <c r="G29" i="25"/>
  <c r="N31" i="25"/>
  <c r="N34" i="25"/>
  <c r="M35" i="25"/>
  <c r="M38" i="25"/>
  <c r="N41" i="25"/>
  <c r="K36" i="24"/>
  <c r="J36" i="24" s="1"/>
  <c r="I36" i="24"/>
  <c r="R36" i="24" s="1"/>
  <c r="Q28" i="24"/>
  <c r="M28" i="24"/>
  <c r="P28" i="24"/>
  <c r="O28" i="24"/>
  <c r="R28" i="24"/>
  <c r="I42" i="24"/>
  <c r="R42" i="24" s="1"/>
  <c r="K42" i="24"/>
  <c r="J42" i="24" s="1"/>
  <c r="I38" i="24"/>
  <c r="N38" i="24" s="1"/>
  <c r="K38" i="24"/>
  <c r="J38" i="24" s="1"/>
  <c r="K39" i="24"/>
  <c r="J39" i="24" s="1"/>
  <c r="I39" i="24"/>
  <c r="P39" i="24" s="1"/>
  <c r="N42" i="24"/>
  <c r="N29" i="24"/>
  <c r="G31" i="24"/>
  <c r="O32" i="24"/>
  <c r="R39" i="24"/>
  <c r="O42" i="24"/>
  <c r="G28" i="24"/>
  <c r="O29" i="24"/>
  <c r="N30" i="24"/>
  <c r="M31" i="24"/>
  <c r="Q31" i="24"/>
  <c r="G32" i="24"/>
  <c r="P32" i="24"/>
  <c r="R33" i="24"/>
  <c r="M34" i="24"/>
  <c r="Q34" i="24"/>
  <c r="P35" i="24"/>
  <c r="O36" i="24"/>
  <c r="N37" i="24"/>
  <c r="P38" i="24"/>
  <c r="O39" i="24"/>
  <c r="N40" i="24"/>
  <c r="M41" i="24"/>
  <c r="Q41" i="24"/>
  <c r="P42" i="24"/>
  <c r="N32" i="24"/>
  <c r="N35" i="24"/>
  <c r="R38" i="24"/>
  <c r="R29" i="24"/>
  <c r="O35" i="24"/>
  <c r="N36" i="24"/>
  <c r="O38" i="24"/>
  <c r="N39" i="24"/>
  <c r="G41" i="24"/>
  <c r="G29" i="24"/>
  <c r="N31" i="24"/>
  <c r="N34" i="24"/>
  <c r="M35" i="24"/>
  <c r="M38" i="24"/>
  <c r="N41" i="24"/>
  <c r="K38" i="23"/>
  <c r="J38" i="23" s="1"/>
  <c r="I38" i="23"/>
  <c r="N38" i="23" s="1"/>
  <c r="K39" i="23"/>
  <c r="J39" i="23" s="1"/>
  <c r="I39" i="23"/>
  <c r="P39" i="23" s="1"/>
  <c r="K35" i="23"/>
  <c r="J35" i="23" s="1"/>
  <c r="I35" i="23"/>
  <c r="R35" i="23" s="1"/>
  <c r="K36" i="23"/>
  <c r="J36" i="23" s="1"/>
  <c r="I36" i="23"/>
  <c r="R36" i="23" s="1"/>
  <c r="K42" i="23"/>
  <c r="J42" i="23" s="1"/>
  <c r="I42" i="23"/>
  <c r="R42" i="23" s="1"/>
  <c r="R38" i="23"/>
  <c r="O28" i="23"/>
  <c r="R29" i="23"/>
  <c r="G31" i="23"/>
  <c r="O38" i="23"/>
  <c r="R39" i="23"/>
  <c r="O42" i="23"/>
  <c r="P28" i="23"/>
  <c r="O29" i="23"/>
  <c r="N30" i="23"/>
  <c r="G32" i="23"/>
  <c r="P32" i="23"/>
  <c r="R33" i="23"/>
  <c r="P35" i="23"/>
  <c r="O36" i="23"/>
  <c r="N37" i="23"/>
  <c r="P38" i="23"/>
  <c r="O39" i="23"/>
  <c r="N40" i="23"/>
  <c r="P42" i="23"/>
  <c r="R28" i="23"/>
  <c r="N32" i="23"/>
  <c r="N35" i="23"/>
  <c r="N42" i="23"/>
  <c r="N29" i="23"/>
  <c r="O32" i="23"/>
  <c r="O35" i="23"/>
  <c r="N36" i="23"/>
  <c r="N39" i="23"/>
  <c r="G41" i="23"/>
  <c r="M28" i="23"/>
  <c r="G29" i="23"/>
  <c r="N31" i="23"/>
  <c r="N34" i="23"/>
  <c r="M35" i="23"/>
  <c r="M38" i="23"/>
  <c r="N41" i="23"/>
  <c r="I38" i="22"/>
  <c r="N38" i="22" s="1"/>
  <c r="K38" i="22"/>
  <c r="J38" i="22" s="1"/>
  <c r="K39" i="22"/>
  <c r="J39" i="22" s="1"/>
  <c r="I39" i="22"/>
  <c r="P39" i="22" s="1"/>
  <c r="K36" i="22"/>
  <c r="J36" i="22" s="1"/>
  <c r="I36" i="22"/>
  <c r="R36" i="22" s="1"/>
  <c r="K42" i="22"/>
  <c r="J42" i="22" s="1"/>
  <c r="I42" i="22"/>
  <c r="R42" i="22" s="1"/>
  <c r="N35" i="22"/>
  <c r="R38" i="22"/>
  <c r="O28" i="22"/>
  <c r="N29" i="22"/>
  <c r="R29" i="22"/>
  <c r="M30" i="22"/>
  <c r="Q30" i="22"/>
  <c r="G31" i="22"/>
  <c r="P31" i="22"/>
  <c r="O32" i="22"/>
  <c r="M33" i="22"/>
  <c r="Q33" i="22"/>
  <c r="G34" i="22"/>
  <c r="O35" i="22"/>
  <c r="N36" i="22"/>
  <c r="M37" i="22"/>
  <c r="O38" i="22"/>
  <c r="N39" i="22"/>
  <c r="R39" i="22"/>
  <c r="M40" i="22"/>
  <c r="Q40" i="22"/>
  <c r="G41" i="22"/>
  <c r="P41" i="22"/>
  <c r="O42" i="22"/>
  <c r="N32" i="22"/>
  <c r="G28" i="22"/>
  <c r="P28" i="22"/>
  <c r="O29" i="22"/>
  <c r="N30" i="22"/>
  <c r="R30" i="22"/>
  <c r="M31" i="22"/>
  <c r="Q31" i="22"/>
  <c r="G32" i="22"/>
  <c r="P32" i="22"/>
  <c r="R33" i="22"/>
  <c r="M34" i="22"/>
  <c r="Q34" i="22"/>
  <c r="P35" i="22"/>
  <c r="N37" i="22"/>
  <c r="P38" i="22"/>
  <c r="N40" i="22"/>
  <c r="M41" i="22"/>
  <c r="Q41" i="22"/>
  <c r="P42" i="22"/>
  <c r="R28" i="22"/>
  <c r="N42" i="22"/>
  <c r="M28" i="22"/>
  <c r="G29" i="22"/>
  <c r="N31" i="22"/>
  <c r="N34" i="22"/>
  <c r="M35" i="22"/>
  <c r="M38" i="22"/>
  <c r="N41" i="22"/>
  <c r="K42" i="21"/>
  <c r="J42" i="21" s="1"/>
  <c r="I42" i="21"/>
  <c r="R42" i="21" s="1"/>
  <c r="K36" i="21"/>
  <c r="J36" i="21" s="1"/>
  <c r="I36" i="21"/>
  <c r="R36" i="21" s="1"/>
  <c r="K38" i="21"/>
  <c r="J38" i="21" s="1"/>
  <c r="I38" i="21"/>
  <c r="N38" i="21" s="1"/>
  <c r="K39" i="21"/>
  <c r="J39" i="21" s="1"/>
  <c r="I39" i="21"/>
  <c r="P39" i="21" s="1"/>
  <c r="I35" i="21"/>
  <c r="R35" i="21" s="1"/>
  <c r="K35" i="21"/>
  <c r="J35" i="21" s="1"/>
  <c r="N32" i="21"/>
  <c r="N35" i="21"/>
  <c r="R38" i="21"/>
  <c r="O28" i="21"/>
  <c r="N29" i="21"/>
  <c r="K34" i="21"/>
  <c r="J34" i="21" s="1"/>
  <c r="N36" i="21"/>
  <c r="N39" i="21"/>
  <c r="R39" i="21"/>
  <c r="G28" i="21"/>
  <c r="P28" i="21"/>
  <c r="O29" i="21"/>
  <c r="N30" i="21"/>
  <c r="M31" i="21"/>
  <c r="Q31" i="21"/>
  <c r="G32" i="21"/>
  <c r="P32" i="21"/>
  <c r="R33" i="21"/>
  <c r="M34" i="21"/>
  <c r="Q34" i="21"/>
  <c r="P35" i="21"/>
  <c r="O36" i="21"/>
  <c r="N37" i="21"/>
  <c r="P38" i="21"/>
  <c r="O39" i="21"/>
  <c r="N40" i="21"/>
  <c r="M41" i="21"/>
  <c r="Q41" i="21"/>
  <c r="P42" i="21"/>
  <c r="R28" i="21"/>
  <c r="N42" i="21"/>
  <c r="R29" i="21"/>
  <c r="G31" i="21"/>
  <c r="O32" i="21"/>
  <c r="O35" i="21"/>
  <c r="O38" i="21"/>
  <c r="G41" i="21"/>
  <c r="O42" i="21"/>
  <c r="M28" i="21"/>
  <c r="G29" i="21"/>
  <c r="N31" i="21"/>
  <c r="N34" i="21"/>
  <c r="M35" i="21"/>
  <c r="M38" i="21"/>
  <c r="N41" i="21"/>
  <c r="K36" i="20"/>
  <c r="J36" i="20" s="1"/>
  <c r="I36" i="20"/>
  <c r="R36" i="20" s="1"/>
  <c r="K42" i="20"/>
  <c r="J42" i="20" s="1"/>
  <c r="I42" i="20"/>
  <c r="R42" i="20" s="1"/>
  <c r="I38" i="20"/>
  <c r="N38" i="20" s="1"/>
  <c r="K38" i="20"/>
  <c r="J38" i="20" s="1"/>
  <c r="K39" i="20"/>
  <c r="J39" i="20" s="1"/>
  <c r="I39" i="20"/>
  <c r="P39" i="20" s="1"/>
  <c r="K35" i="20"/>
  <c r="J35" i="20" s="1"/>
  <c r="I35" i="20"/>
  <c r="R35" i="20" s="1"/>
  <c r="R28" i="20"/>
  <c r="N35" i="20"/>
  <c r="O28" i="20"/>
  <c r="N29" i="20"/>
  <c r="R29" i="20"/>
  <c r="M30" i="20"/>
  <c r="Q30" i="20"/>
  <c r="G31" i="20"/>
  <c r="P31" i="20"/>
  <c r="O32" i="20"/>
  <c r="M33" i="20"/>
  <c r="Q33" i="20"/>
  <c r="G34" i="20"/>
  <c r="O35" i="20"/>
  <c r="N36" i="20"/>
  <c r="M37" i="20"/>
  <c r="O38" i="20"/>
  <c r="N39" i="20"/>
  <c r="R39" i="20"/>
  <c r="M40" i="20"/>
  <c r="Q40" i="20"/>
  <c r="G41" i="20"/>
  <c r="P41" i="20"/>
  <c r="O42" i="20"/>
  <c r="P28" i="20"/>
  <c r="N30" i="20"/>
  <c r="G32" i="20"/>
  <c r="P32" i="20"/>
  <c r="R33" i="20"/>
  <c r="P35" i="20"/>
  <c r="N37" i="20"/>
  <c r="P38" i="20"/>
  <c r="N40" i="20"/>
  <c r="M41" i="20"/>
  <c r="Q41" i="20"/>
  <c r="P42" i="20"/>
  <c r="N32" i="20"/>
  <c r="R38" i="20"/>
  <c r="N42" i="20"/>
  <c r="M28" i="20"/>
  <c r="G29" i="20"/>
  <c r="N31" i="20"/>
  <c r="N34" i="20"/>
  <c r="M35" i="20"/>
  <c r="M38" i="20"/>
  <c r="N41" i="20"/>
  <c r="K33" i="14"/>
  <c r="J33" i="14" s="1"/>
  <c r="K28" i="14"/>
  <c r="J28" i="14" s="1"/>
  <c r="Q35" i="15"/>
  <c r="K38" i="19"/>
  <c r="J38" i="19" s="1"/>
  <c r="I38" i="19"/>
  <c r="N38" i="19" s="1"/>
  <c r="K39" i="19"/>
  <c r="J39" i="19" s="1"/>
  <c r="I39" i="19"/>
  <c r="P39" i="19" s="1"/>
  <c r="I35" i="19"/>
  <c r="R35" i="19" s="1"/>
  <c r="K35" i="19"/>
  <c r="J35" i="19" s="1"/>
  <c r="K36" i="19"/>
  <c r="J36" i="19" s="1"/>
  <c r="I36" i="19"/>
  <c r="R36" i="19" s="1"/>
  <c r="R28" i="19"/>
  <c r="N32" i="19"/>
  <c r="N35" i="19"/>
  <c r="R38" i="19"/>
  <c r="N42" i="19"/>
  <c r="O28" i="19"/>
  <c r="R29" i="19"/>
  <c r="G31" i="19"/>
  <c r="N36" i="19"/>
  <c r="O38" i="19"/>
  <c r="N39" i="19"/>
  <c r="R39" i="19"/>
  <c r="O42" i="19"/>
  <c r="G28" i="19"/>
  <c r="P28" i="19"/>
  <c r="O29" i="19"/>
  <c r="N30" i="19"/>
  <c r="M31" i="19"/>
  <c r="Q31" i="19"/>
  <c r="G32" i="19"/>
  <c r="P32" i="19"/>
  <c r="I33" i="19"/>
  <c r="N33" i="19" s="1"/>
  <c r="R33" i="19"/>
  <c r="M34" i="19"/>
  <c r="Q34" i="19"/>
  <c r="P35" i="19"/>
  <c r="O36" i="19"/>
  <c r="N37" i="19"/>
  <c r="P38" i="19"/>
  <c r="O39" i="19"/>
  <c r="N40" i="19"/>
  <c r="M41" i="19"/>
  <c r="Q41" i="19"/>
  <c r="P42" i="19"/>
  <c r="N29" i="19"/>
  <c r="O32" i="19"/>
  <c r="K34" i="19"/>
  <c r="J34" i="19" s="1"/>
  <c r="O35" i="19"/>
  <c r="G41" i="19"/>
  <c r="M28" i="19"/>
  <c r="G29" i="19"/>
  <c r="N31" i="19"/>
  <c r="N34" i="19"/>
  <c r="M35" i="19"/>
  <c r="M38" i="19"/>
  <c r="N41" i="19"/>
  <c r="I38" i="18"/>
  <c r="N38" i="18" s="1"/>
  <c r="K38" i="18"/>
  <c r="J38" i="18" s="1"/>
  <c r="K39" i="18"/>
  <c r="J39" i="18" s="1"/>
  <c r="K35" i="18"/>
  <c r="J35" i="18" s="1"/>
  <c r="I35" i="18"/>
  <c r="R35" i="18" s="1"/>
  <c r="K36" i="18"/>
  <c r="J36" i="18" s="1"/>
  <c r="I36" i="18"/>
  <c r="R36" i="18" s="1"/>
  <c r="K42" i="18"/>
  <c r="J42" i="18" s="1"/>
  <c r="I42" i="18"/>
  <c r="R42" i="18" s="1"/>
  <c r="R28" i="18"/>
  <c r="K30" i="18"/>
  <c r="J30" i="18" s="1"/>
  <c r="N29" i="18"/>
  <c r="O35" i="18"/>
  <c r="O38" i="18"/>
  <c r="N39" i="18"/>
  <c r="R39" i="18"/>
  <c r="O42" i="18"/>
  <c r="G28" i="18"/>
  <c r="P28" i="18"/>
  <c r="O29" i="18"/>
  <c r="N30" i="18"/>
  <c r="R30" i="18"/>
  <c r="M31" i="18"/>
  <c r="Q31" i="18"/>
  <c r="G32" i="18"/>
  <c r="P32" i="18"/>
  <c r="R33" i="18"/>
  <c r="M34" i="18"/>
  <c r="Q34" i="18"/>
  <c r="P35" i="18"/>
  <c r="O36" i="18"/>
  <c r="P38" i="18"/>
  <c r="O39" i="18"/>
  <c r="N40" i="18"/>
  <c r="M41" i="18"/>
  <c r="Q41" i="18"/>
  <c r="P42" i="18"/>
  <c r="N32" i="18"/>
  <c r="N35" i="18"/>
  <c r="R38" i="18"/>
  <c r="N42" i="18"/>
  <c r="O28" i="18"/>
  <c r="R29" i="18"/>
  <c r="G31" i="18"/>
  <c r="O32" i="18"/>
  <c r="N36" i="18"/>
  <c r="G41" i="18"/>
  <c r="M28" i="18"/>
  <c r="G29" i="18"/>
  <c r="N31" i="18"/>
  <c r="N34" i="18"/>
  <c r="M35" i="18"/>
  <c r="M38" i="18"/>
  <c r="N41" i="18"/>
  <c r="K39" i="17"/>
  <c r="J39" i="17" s="1"/>
  <c r="I39" i="17"/>
  <c r="P39" i="17" s="1"/>
  <c r="K38" i="17"/>
  <c r="J38" i="17" s="1"/>
  <c r="I38" i="17"/>
  <c r="N38" i="17" s="1"/>
  <c r="K36" i="17"/>
  <c r="J36" i="17" s="1"/>
  <c r="I36" i="17"/>
  <c r="R36" i="17" s="1"/>
  <c r="K42" i="17"/>
  <c r="J42" i="17" s="1"/>
  <c r="I42" i="17"/>
  <c r="R42" i="17" s="1"/>
  <c r="I35" i="17"/>
  <c r="R35" i="17" s="1"/>
  <c r="K35" i="17"/>
  <c r="J35" i="17" s="1"/>
  <c r="N32" i="17"/>
  <c r="R38" i="17"/>
  <c r="O28" i="17"/>
  <c r="N29" i="17"/>
  <c r="M30" i="17"/>
  <c r="Q30" i="17"/>
  <c r="G31" i="17"/>
  <c r="P31" i="17"/>
  <c r="O32" i="17"/>
  <c r="M33" i="17"/>
  <c r="Q33" i="17"/>
  <c r="G34" i="17"/>
  <c r="O35" i="17"/>
  <c r="N36" i="17"/>
  <c r="M37" i="17"/>
  <c r="O38" i="17"/>
  <c r="N39" i="17"/>
  <c r="M40" i="17"/>
  <c r="Q40" i="17"/>
  <c r="G41" i="17"/>
  <c r="P41" i="17"/>
  <c r="O42" i="17"/>
  <c r="R28" i="17"/>
  <c r="N35" i="17"/>
  <c r="G28" i="17"/>
  <c r="P28" i="17"/>
  <c r="N30" i="17"/>
  <c r="M31" i="17"/>
  <c r="Q31" i="17"/>
  <c r="G32" i="17"/>
  <c r="P32" i="17"/>
  <c r="R33" i="17"/>
  <c r="M34" i="17"/>
  <c r="Q34" i="17"/>
  <c r="P35" i="17"/>
  <c r="N37" i="17"/>
  <c r="P38" i="17"/>
  <c r="N40" i="17"/>
  <c r="M41" i="17"/>
  <c r="Q41" i="17"/>
  <c r="P42" i="17"/>
  <c r="N42" i="17"/>
  <c r="M28" i="17"/>
  <c r="G29" i="17"/>
  <c r="N31" i="17"/>
  <c r="N34" i="17"/>
  <c r="M35" i="17"/>
  <c r="M38" i="17"/>
  <c r="N41" i="17"/>
  <c r="K36" i="16"/>
  <c r="J36" i="16" s="1"/>
  <c r="I36" i="16"/>
  <c r="R36" i="16" s="1"/>
  <c r="I38" i="16"/>
  <c r="N38" i="16" s="1"/>
  <c r="K39" i="16"/>
  <c r="J39" i="16" s="1"/>
  <c r="I39" i="16"/>
  <c r="P39" i="16" s="1"/>
  <c r="K42" i="16"/>
  <c r="J42" i="16" s="1"/>
  <c r="I42" i="16"/>
  <c r="R42" i="16" s="1"/>
  <c r="N32" i="16"/>
  <c r="N35" i="16"/>
  <c r="K40" i="16"/>
  <c r="J40" i="16" s="1"/>
  <c r="O28" i="16"/>
  <c r="N29" i="16"/>
  <c r="R29" i="16"/>
  <c r="Q30" i="16"/>
  <c r="G31" i="16"/>
  <c r="P31" i="16"/>
  <c r="O32" i="16"/>
  <c r="M33" i="16"/>
  <c r="Q33" i="16"/>
  <c r="G34" i="16"/>
  <c r="O35" i="16"/>
  <c r="N36" i="16"/>
  <c r="M37" i="16"/>
  <c r="O38" i="16"/>
  <c r="N39" i="16"/>
  <c r="R39" i="16"/>
  <c r="M40" i="16"/>
  <c r="Q40" i="16"/>
  <c r="G41" i="16"/>
  <c r="P41" i="16"/>
  <c r="O42" i="16"/>
  <c r="G28" i="16"/>
  <c r="P28" i="16"/>
  <c r="O29" i="16"/>
  <c r="N30" i="16"/>
  <c r="M31" i="16"/>
  <c r="Q31" i="16"/>
  <c r="G32" i="16"/>
  <c r="P32" i="16"/>
  <c r="R33" i="16"/>
  <c r="M34" i="16"/>
  <c r="Q34" i="16"/>
  <c r="P35" i="16"/>
  <c r="O36" i="16"/>
  <c r="I37" i="16"/>
  <c r="R37" i="16" s="1"/>
  <c r="N37" i="16"/>
  <c r="P38" i="16"/>
  <c r="O39" i="16"/>
  <c r="N40" i="16"/>
  <c r="R40" i="16"/>
  <c r="M41" i="16"/>
  <c r="Q41" i="16"/>
  <c r="P42" i="16"/>
  <c r="R28" i="16"/>
  <c r="R38" i="16"/>
  <c r="N42" i="16"/>
  <c r="M28" i="16"/>
  <c r="G29" i="16"/>
  <c r="N31" i="16"/>
  <c r="N34" i="16"/>
  <c r="M35" i="16"/>
  <c r="M38" i="16"/>
  <c r="N41" i="16"/>
  <c r="I38" i="15"/>
  <c r="N38" i="15" s="1"/>
  <c r="K38" i="15"/>
  <c r="J38" i="15" s="1"/>
  <c r="K35" i="15"/>
  <c r="J35" i="15" s="1"/>
  <c r="I35" i="15"/>
  <c r="R35" i="15" s="1"/>
  <c r="K36" i="15"/>
  <c r="J36" i="15" s="1"/>
  <c r="I36" i="15"/>
  <c r="R36" i="15" s="1"/>
  <c r="K39" i="15"/>
  <c r="J39" i="15" s="1"/>
  <c r="I39" i="15"/>
  <c r="P39" i="15" s="1"/>
  <c r="N42" i="15"/>
  <c r="O28" i="15"/>
  <c r="N29" i="15"/>
  <c r="M30" i="15"/>
  <c r="Q30" i="15"/>
  <c r="G31" i="15"/>
  <c r="P31" i="15"/>
  <c r="O32" i="15"/>
  <c r="M33" i="15"/>
  <c r="Q33" i="15"/>
  <c r="G34" i="15"/>
  <c r="O35" i="15"/>
  <c r="N36" i="15"/>
  <c r="M37" i="15"/>
  <c r="O38" i="15"/>
  <c r="N39" i="15"/>
  <c r="M40" i="15"/>
  <c r="Q40" i="15"/>
  <c r="G41" i="15"/>
  <c r="P41" i="15"/>
  <c r="O42" i="15"/>
  <c r="N32" i="15"/>
  <c r="R38" i="15"/>
  <c r="G28" i="15"/>
  <c r="P28" i="15"/>
  <c r="N30" i="15"/>
  <c r="M31" i="15"/>
  <c r="Q31" i="15"/>
  <c r="G32" i="15"/>
  <c r="P32" i="15"/>
  <c r="R33" i="15"/>
  <c r="M34" i="15"/>
  <c r="Q34" i="15"/>
  <c r="P35" i="15"/>
  <c r="N37" i="15"/>
  <c r="P38" i="15"/>
  <c r="N40" i="15"/>
  <c r="M41" i="15"/>
  <c r="Q41" i="15"/>
  <c r="P42" i="15"/>
  <c r="R28" i="15"/>
  <c r="N35" i="15"/>
  <c r="M28" i="15"/>
  <c r="G29" i="15"/>
  <c r="N31" i="15"/>
  <c r="N34" i="15"/>
  <c r="M35" i="15"/>
  <c r="M38" i="15"/>
  <c r="N41" i="15"/>
  <c r="K36" i="14"/>
  <c r="J36" i="14" s="1"/>
  <c r="I36" i="14"/>
  <c r="R36" i="14" s="1"/>
  <c r="K42" i="14"/>
  <c r="J42" i="14" s="1"/>
  <c r="I42" i="14"/>
  <c r="R42" i="14" s="1"/>
  <c r="K39" i="14"/>
  <c r="J39" i="14" s="1"/>
  <c r="I39" i="14"/>
  <c r="P39" i="14" s="1"/>
  <c r="I35" i="14"/>
  <c r="R35" i="14" s="1"/>
  <c r="R28" i="14"/>
  <c r="R38" i="14"/>
  <c r="O28" i="14"/>
  <c r="N29" i="14"/>
  <c r="R29" i="14"/>
  <c r="M30" i="14"/>
  <c r="Q30" i="14"/>
  <c r="G31" i="14"/>
  <c r="P31" i="14"/>
  <c r="O32" i="14"/>
  <c r="M33" i="14"/>
  <c r="Q33" i="14"/>
  <c r="G34" i="14"/>
  <c r="O35" i="14"/>
  <c r="N36" i="14"/>
  <c r="M37" i="14"/>
  <c r="O38" i="14"/>
  <c r="N39" i="14"/>
  <c r="R39" i="14"/>
  <c r="M40" i="14"/>
  <c r="Q40" i="14"/>
  <c r="G41" i="14"/>
  <c r="P41" i="14"/>
  <c r="O42" i="14"/>
  <c r="N32" i="14"/>
  <c r="N35" i="14"/>
  <c r="P28" i="14"/>
  <c r="N30" i="14"/>
  <c r="G32" i="14"/>
  <c r="P32" i="14"/>
  <c r="I33" i="14"/>
  <c r="N33" i="14" s="1"/>
  <c r="R33" i="14"/>
  <c r="P35" i="14"/>
  <c r="N37" i="14"/>
  <c r="P38" i="14"/>
  <c r="N40" i="14"/>
  <c r="M41" i="14"/>
  <c r="Q41" i="14"/>
  <c r="P42" i="14"/>
  <c r="M28" i="14"/>
  <c r="G29" i="14"/>
  <c r="N31" i="14"/>
  <c r="N34" i="14"/>
  <c r="M35" i="14"/>
  <c r="M38" i="14"/>
  <c r="N41" i="14"/>
  <c r="K33" i="11"/>
  <c r="J33" i="11" s="1"/>
  <c r="K39" i="13"/>
  <c r="J39" i="13" s="1"/>
  <c r="I39" i="13"/>
  <c r="P39" i="13" s="1"/>
  <c r="K38" i="13"/>
  <c r="J38" i="13" s="1"/>
  <c r="I38" i="13"/>
  <c r="N38" i="13" s="1"/>
  <c r="K35" i="13"/>
  <c r="J35" i="13" s="1"/>
  <c r="I35" i="13"/>
  <c r="R35" i="13" s="1"/>
  <c r="K36" i="13"/>
  <c r="J36" i="13" s="1"/>
  <c r="I36" i="13"/>
  <c r="R36" i="13" s="1"/>
  <c r="I42" i="13"/>
  <c r="R42" i="13" s="1"/>
  <c r="K42" i="13"/>
  <c r="J42" i="13" s="1"/>
  <c r="K30" i="13"/>
  <c r="J30" i="13" s="1"/>
  <c r="N42" i="13"/>
  <c r="O28" i="13"/>
  <c r="N29" i="13"/>
  <c r="R29" i="13"/>
  <c r="M30" i="13"/>
  <c r="Q30" i="13"/>
  <c r="G31" i="13"/>
  <c r="P31" i="13"/>
  <c r="O32" i="13"/>
  <c r="M33" i="13"/>
  <c r="Q33" i="13"/>
  <c r="G34" i="13"/>
  <c r="O35" i="13"/>
  <c r="N36" i="13"/>
  <c r="M37" i="13"/>
  <c r="O38" i="13"/>
  <c r="N39" i="13"/>
  <c r="R39" i="13"/>
  <c r="M40" i="13"/>
  <c r="Q40" i="13"/>
  <c r="G41" i="13"/>
  <c r="P41" i="13"/>
  <c r="O42" i="13"/>
  <c r="R28" i="13"/>
  <c r="N35" i="13"/>
  <c r="R38" i="13"/>
  <c r="G28" i="13"/>
  <c r="P28" i="13"/>
  <c r="O29" i="13"/>
  <c r="N30" i="13"/>
  <c r="R30" i="13"/>
  <c r="M31" i="13"/>
  <c r="Q31" i="13"/>
  <c r="G32" i="13"/>
  <c r="P32" i="13"/>
  <c r="R33" i="13"/>
  <c r="M34" i="13"/>
  <c r="Q34" i="13"/>
  <c r="P35" i="13"/>
  <c r="O36" i="13"/>
  <c r="N37" i="13"/>
  <c r="P38" i="13"/>
  <c r="O39" i="13"/>
  <c r="N40" i="13"/>
  <c r="M41" i="13"/>
  <c r="Q41" i="13"/>
  <c r="P42" i="13"/>
  <c r="N32" i="13"/>
  <c r="M28" i="13"/>
  <c r="G29" i="13"/>
  <c r="N31" i="13"/>
  <c r="N34" i="13"/>
  <c r="M35" i="13"/>
  <c r="M38" i="13"/>
  <c r="N41" i="13"/>
  <c r="K38" i="12"/>
  <c r="J38" i="12" s="1"/>
  <c r="I38" i="12"/>
  <c r="N38" i="12" s="1"/>
  <c r="K39" i="12"/>
  <c r="J39" i="12" s="1"/>
  <c r="I39" i="12"/>
  <c r="P39" i="12" s="1"/>
  <c r="K35" i="12"/>
  <c r="J35" i="12" s="1"/>
  <c r="I35" i="12"/>
  <c r="R35" i="12" s="1"/>
  <c r="K36" i="12"/>
  <c r="J36" i="12" s="1"/>
  <c r="I36" i="12"/>
  <c r="R36" i="12" s="1"/>
  <c r="K42" i="12"/>
  <c r="J42" i="12" s="1"/>
  <c r="I42" i="12"/>
  <c r="R42" i="12" s="1"/>
  <c r="N32" i="12"/>
  <c r="K33" i="12"/>
  <c r="J33" i="12" s="1"/>
  <c r="K37" i="12"/>
  <c r="J37" i="12" s="1"/>
  <c r="R38" i="12"/>
  <c r="N42" i="12"/>
  <c r="N29" i="12"/>
  <c r="O32" i="12"/>
  <c r="N36" i="12"/>
  <c r="G41" i="12"/>
  <c r="O42" i="12"/>
  <c r="G28" i="12"/>
  <c r="P28" i="12"/>
  <c r="O29" i="12"/>
  <c r="I30" i="12"/>
  <c r="R30" i="12" s="1"/>
  <c r="N30" i="12"/>
  <c r="M31" i="12"/>
  <c r="Q31" i="12"/>
  <c r="G32" i="12"/>
  <c r="P32" i="12"/>
  <c r="N33" i="12"/>
  <c r="M34" i="12"/>
  <c r="Q34" i="12"/>
  <c r="P35" i="12"/>
  <c r="O36" i="12"/>
  <c r="P38" i="12"/>
  <c r="O39" i="12"/>
  <c r="N40" i="12"/>
  <c r="M41" i="12"/>
  <c r="Q41" i="12"/>
  <c r="P42" i="12"/>
  <c r="R28" i="12"/>
  <c r="N35" i="12"/>
  <c r="O28" i="12"/>
  <c r="R29" i="12"/>
  <c r="G31" i="12"/>
  <c r="K34" i="12"/>
  <c r="J34" i="12" s="1"/>
  <c r="O35" i="12"/>
  <c r="O38" i="12"/>
  <c r="N39" i="12"/>
  <c r="R39" i="12"/>
  <c r="M28" i="12"/>
  <c r="G29" i="12"/>
  <c r="N31" i="12"/>
  <c r="N34" i="12"/>
  <c r="M35" i="12"/>
  <c r="M38" i="12"/>
  <c r="N41" i="12"/>
  <c r="K35" i="11"/>
  <c r="J35" i="11" s="1"/>
  <c r="I35" i="11"/>
  <c r="R35" i="11" s="1"/>
  <c r="K42" i="11"/>
  <c r="J42" i="11" s="1"/>
  <c r="I42" i="11"/>
  <c r="R42" i="11" s="1"/>
  <c r="K36" i="11"/>
  <c r="J36" i="11" s="1"/>
  <c r="I36" i="11"/>
  <c r="R36" i="11" s="1"/>
  <c r="K38" i="11"/>
  <c r="J38" i="11" s="1"/>
  <c r="I38" i="11"/>
  <c r="N38" i="11" s="1"/>
  <c r="K39" i="11"/>
  <c r="J39" i="11" s="1"/>
  <c r="I39" i="11"/>
  <c r="P39" i="11" s="1"/>
  <c r="R28" i="11"/>
  <c r="N32" i="11"/>
  <c r="N35" i="11"/>
  <c r="O28" i="11"/>
  <c r="N29" i="11"/>
  <c r="R29" i="11"/>
  <c r="M30" i="11"/>
  <c r="Q30" i="11"/>
  <c r="G31" i="11"/>
  <c r="P31" i="11"/>
  <c r="O32" i="11"/>
  <c r="M33" i="11"/>
  <c r="Q33" i="11"/>
  <c r="G34" i="11"/>
  <c r="O35" i="11"/>
  <c r="N36" i="11"/>
  <c r="M37" i="11"/>
  <c r="O38" i="11"/>
  <c r="N39" i="11"/>
  <c r="R39" i="11"/>
  <c r="M40" i="11"/>
  <c r="Q40" i="11"/>
  <c r="G41" i="11"/>
  <c r="P41" i="11"/>
  <c r="O42" i="11"/>
  <c r="G28" i="11"/>
  <c r="P28" i="11"/>
  <c r="O29" i="11"/>
  <c r="N30" i="11"/>
  <c r="M31" i="11"/>
  <c r="Q31" i="11"/>
  <c r="G32" i="11"/>
  <c r="P32" i="11"/>
  <c r="R33" i="11"/>
  <c r="M34" i="11"/>
  <c r="Q34" i="11"/>
  <c r="P35" i="11"/>
  <c r="O36" i="11"/>
  <c r="N37" i="11"/>
  <c r="P38" i="11"/>
  <c r="O39" i="11"/>
  <c r="N40" i="11"/>
  <c r="M41" i="11"/>
  <c r="Q41" i="11"/>
  <c r="P42" i="11"/>
  <c r="R38" i="11"/>
  <c r="N42" i="11"/>
  <c r="M28" i="11"/>
  <c r="G29" i="11"/>
  <c r="N31" i="11"/>
  <c r="N34" i="11"/>
  <c r="M35" i="11"/>
  <c r="M38" i="11"/>
  <c r="N41" i="11"/>
  <c r="G39" i="10"/>
  <c r="H39" i="10"/>
  <c r="G40" i="10"/>
  <c r="H40" i="10"/>
  <c r="G41" i="10"/>
  <c r="H41" i="10"/>
  <c r="G42" i="10"/>
  <c r="H42" i="10"/>
  <c r="Q42" i="10" s="1"/>
  <c r="H38" i="10"/>
  <c r="G38" i="10"/>
  <c r="G34" i="10"/>
  <c r="H34" i="10"/>
  <c r="G35" i="10"/>
  <c r="H35" i="10"/>
  <c r="G36" i="10"/>
  <c r="H36" i="10"/>
  <c r="G37" i="10"/>
  <c r="H37" i="10"/>
  <c r="Q37" i="10" s="1"/>
  <c r="H33" i="10"/>
  <c r="G33" i="10"/>
  <c r="H29" i="10"/>
  <c r="H30" i="10"/>
  <c r="H31" i="10"/>
  <c r="H32" i="10"/>
  <c r="Q32" i="10" s="1"/>
  <c r="H28" i="10"/>
  <c r="G29" i="10"/>
  <c r="G30" i="10"/>
  <c r="G31" i="10"/>
  <c r="G32" i="10"/>
  <c r="G28" i="10"/>
  <c r="K35" i="22" l="1"/>
  <c r="J35" i="22" s="1"/>
  <c r="I33" i="15"/>
  <c r="N33" i="15" s="1"/>
  <c r="K30" i="25"/>
  <c r="J30" i="25" s="1"/>
  <c r="K30" i="11"/>
  <c r="J30" i="11" s="1"/>
  <c r="K35" i="16"/>
  <c r="J35" i="16" s="1"/>
  <c r="K33" i="16"/>
  <c r="J33" i="16" s="1"/>
  <c r="K40" i="17"/>
  <c r="J40" i="17" s="1"/>
  <c r="K33" i="17"/>
  <c r="J33" i="17" s="1"/>
  <c r="K40" i="13"/>
  <c r="J40" i="13" s="1"/>
  <c r="K37" i="22"/>
  <c r="J37" i="22" s="1"/>
  <c r="I37" i="20"/>
  <c r="R37" i="20" s="1"/>
  <c r="I35" i="24"/>
  <c r="R35" i="24" s="1"/>
  <c r="K40" i="25"/>
  <c r="J40" i="25" s="1"/>
  <c r="I33" i="21"/>
  <c r="N33" i="21" s="1"/>
  <c r="K37" i="25"/>
  <c r="J37" i="25" s="1"/>
  <c r="I33" i="23"/>
  <c r="N33" i="23" s="1"/>
  <c r="K42" i="15"/>
  <c r="J42" i="15" s="1"/>
  <c r="K37" i="15"/>
  <c r="J37" i="15" s="1"/>
  <c r="K37" i="18"/>
  <c r="J37" i="18" s="1"/>
  <c r="K37" i="24"/>
  <c r="J37" i="24" s="1"/>
  <c r="K37" i="11"/>
  <c r="J37" i="11" s="1"/>
  <c r="I37" i="19"/>
  <c r="R37" i="19" s="1"/>
  <c r="K40" i="23"/>
  <c r="J40" i="23" s="1"/>
  <c r="K40" i="15"/>
  <c r="J40" i="15" s="1"/>
  <c r="I30" i="21"/>
  <c r="R30" i="21" s="1"/>
  <c r="I40" i="11"/>
  <c r="R40" i="11" s="1"/>
  <c r="K40" i="19"/>
  <c r="J40" i="19" s="1"/>
  <c r="I30" i="20"/>
  <c r="R30" i="20" s="1"/>
  <c r="K30" i="17"/>
  <c r="J30" i="17" s="1"/>
  <c r="K30" i="27"/>
  <c r="J30" i="27" s="1"/>
  <c r="I40" i="12"/>
  <c r="R40" i="12" s="1"/>
  <c r="K30" i="28"/>
  <c r="J30" i="28" s="1"/>
  <c r="K28" i="23"/>
  <c r="J28" i="23" s="1"/>
  <c r="K30" i="19"/>
  <c r="J30" i="19" s="1"/>
  <c r="K33" i="20"/>
  <c r="J33" i="20" s="1"/>
  <c r="K33" i="25"/>
  <c r="J33" i="25" s="1"/>
  <c r="K34" i="24"/>
  <c r="J34" i="24" s="1"/>
  <c r="K33" i="26"/>
  <c r="J33" i="26" s="1"/>
  <c r="I40" i="14"/>
  <c r="R40" i="14" s="1"/>
  <c r="I33" i="27"/>
  <c r="N33" i="27" s="1"/>
  <c r="K37" i="14"/>
  <c r="J37" i="14" s="1"/>
  <c r="I37" i="23"/>
  <c r="R37" i="23" s="1"/>
  <c r="I30" i="23"/>
  <c r="R30" i="23" s="1"/>
  <c r="K30" i="16"/>
  <c r="J30" i="16" s="1"/>
  <c r="K33" i="28"/>
  <c r="J33" i="28" s="1"/>
  <c r="K42" i="19"/>
  <c r="J42" i="19" s="1"/>
  <c r="K33" i="22"/>
  <c r="J33" i="22" s="1"/>
  <c r="K37" i="29"/>
  <c r="J37" i="29" s="1"/>
  <c r="I33" i="24"/>
  <c r="N33" i="24" s="1"/>
  <c r="I40" i="28"/>
  <c r="R40" i="28" s="1"/>
  <c r="K38" i="14"/>
  <c r="J38" i="14" s="1"/>
  <c r="I40" i="18"/>
  <c r="R40" i="18" s="1"/>
  <c r="K40" i="27"/>
  <c r="J40" i="27" s="1"/>
  <c r="K33" i="29"/>
  <c r="J33" i="29" s="1"/>
  <c r="K37" i="21"/>
  <c r="J37" i="21" s="1"/>
  <c r="K34" i="23"/>
  <c r="J34" i="23" s="1"/>
  <c r="K38" i="28"/>
  <c r="J38" i="28" s="1"/>
  <c r="K40" i="24"/>
  <c r="J40" i="24" s="1"/>
  <c r="K33" i="13"/>
  <c r="J33" i="13" s="1"/>
  <c r="K30" i="24"/>
  <c r="J30" i="24" s="1"/>
  <c r="K28" i="26"/>
  <c r="J28" i="26" s="1"/>
  <c r="I28" i="20"/>
  <c r="N28" i="20" s="1"/>
  <c r="K40" i="20"/>
  <c r="J40" i="20" s="1"/>
  <c r="K35" i="28"/>
  <c r="J35" i="28" s="1"/>
  <c r="I37" i="17"/>
  <c r="R37" i="17" s="1"/>
  <c r="I34" i="26"/>
  <c r="P34" i="26" s="1"/>
  <c r="K34" i="26"/>
  <c r="J34" i="26" s="1"/>
  <c r="K30" i="15"/>
  <c r="J30" i="15" s="1"/>
  <c r="K33" i="18"/>
  <c r="J33" i="18" s="1"/>
  <c r="K30" i="14"/>
  <c r="J30" i="14" s="1"/>
  <c r="K38" i="26"/>
  <c r="J38" i="26" s="1"/>
  <c r="I38" i="26"/>
  <c r="N38" i="26" s="1"/>
  <c r="K37" i="28"/>
  <c r="J37" i="28" s="1"/>
  <c r="K40" i="22"/>
  <c r="J40" i="22" s="1"/>
  <c r="I37" i="13"/>
  <c r="R37" i="13" s="1"/>
  <c r="K34" i="18"/>
  <c r="J34" i="18" s="1"/>
  <c r="K40" i="29"/>
  <c r="J40" i="29" s="1"/>
  <c r="K40" i="21"/>
  <c r="J40" i="21" s="1"/>
  <c r="K30" i="22"/>
  <c r="J30" i="22" s="1"/>
  <c r="I31" i="29"/>
  <c r="R31" i="29" s="1"/>
  <c r="K31" i="29"/>
  <c r="J31" i="29" s="1"/>
  <c r="K29" i="29"/>
  <c r="J29" i="29" s="1"/>
  <c r="I29" i="29"/>
  <c r="P29" i="29" s="1"/>
  <c r="I28" i="29"/>
  <c r="N28" i="29" s="1"/>
  <c r="K28" i="29"/>
  <c r="J28" i="29" s="1"/>
  <c r="I34" i="29"/>
  <c r="P34" i="29" s="1"/>
  <c r="K34" i="29"/>
  <c r="J34" i="29" s="1"/>
  <c r="K32" i="29"/>
  <c r="J32" i="29" s="1"/>
  <c r="I32" i="29"/>
  <c r="R32" i="29" s="1"/>
  <c r="I41" i="29"/>
  <c r="R41" i="29" s="1"/>
  <c r="K41" i="29"/>
  <c r="J41" i="29" s="1"/>
  <c r="K29" i="28"/>
  <c r="J29" i="28" s="1"/>
  <c r="I29" i="28"/>
  <c r="P29" i="28" s="1"/>
  <c r="I28" i="28"/>
  <c r="N28" i="28" s="1"/>
  <c r="K28" i="28"/>
  <c r="J28" i="28" s="1"/>
  <c r="I41" i="28"/>
  <c r="R41" i="28" s="1"/>
  <c r="K41" i="28"/>
  <c r="J41" i="28" s="1"/>
  <c r="I31" i="28"/>
  <c r="R31" i="28" s="1"/>
  <c r="K31" i="28"/>
  <c r="J31" i="28" s="1"/>
  <c r="I32" i="28"/>
  <c r="R32" i="28" s="1"/>
  <c r="K32" i="28"/>
  <c r="J32" i="28" s="1"/>
  <c r="I34" i="28"/>
  <c r="P34" i="28" s="1"/>
  <c r="K34" i="28"/>
  <c r="J34" i="28" s="1"/>
  <c r="I41" i="27"/>
  <c r="R41" i="27" s="1"/>
  <c r="K41" i="27"/>
  <c r="J41" i="27" s="1"/>
  <c r="I31" i="27"/>
  <c r="R31" i="27" s="1"/>
  <c r="K31" i="27"/>
  <c r="J31" i="27" s="1"/>
  <c r="I34" i="27"/>
  <c r="P34" i="27" s="1"/>
  <c r="K34" i="27"/>
  <c r="J34" i="27" s="1"/>
  <c r="K29" i="27"/>
  <c r="J29" i="27" s="1"/>
  <c r="I29" i="27"/>
  <c r="P29" i="27" s="1"/>
  <c r="K32" i="27"/>
  <c r="J32" i="27" s="1"/>
  <c r="I32" i="27"/>
  <c r="R32" i="27" s="1"/>
  <c r="I40" i="26"/>
  <c r="R40" i="26" s="1"/>
  <c r="K40" i="26"/>
  <c r="J40" i="26" s="1"/>
  <c r="I31" i="26"/>
  <c r="R31" i="26" s="1"/>
  <c r="K31" i="26"/>
  <c r="J31" i="26" s="1"/>
  <c r="K42" i="26"/>
  <c r="J42" i="26" s="1"/>
  <c r="I42" i="26"/>
  <c r="R42" i="26" s="1"/>
  <c r="I41" i="26"/>
  <c r="R41" i="26" s="1"/>
  <c r="K41" i="26"/>
  <c r="J41" i="26" s="1"/>
  <c r="I30" i="26"/>
  <c r="R30" i="26" s="1"/>
  <c r="K30" i="26"/>
  <c r="J30" i="26" s="1"/>
  <c r="K29" i="26"/>
  <c r="J29" i="26" s="1"/>
  <c r="I29" i="26"/>
  <c r="P29" i="26" s="1"/>
  <c r="K32" i="26"/>
  <c r="J32" i="26" s="1"/>
  <c r="I32" i="26"/>
  <c r="R32" i="26" s="1"/>
  <c r="K29" i="25"/>
  <c r="J29" i="25" s="1"/>
  <c r="I29" i="25"/>
  <c r="P29" i="25" s="1"/>
  <c r="K32" i="25"/>
  <c r="J32" i="25" s="1"/>
  <c r="I32" i="25"/>
  <c r="R32" i="25" s="1"/>
  <c r="I31" i="25"/>
  <c r="R31" i="25" s="1"/>
  <c r="K31" i="25"/>
  <c r="J31" i="25" s="1"/>
  <c r="I41" i="25"/>
  <c r="R41" i="25" s="1"/>
  <c r="K41" i="25"/>
  <c r="J41" i="25" s="1"/>
  <c r="I28" i="25"/>
  <c r="N28" i="25" s="1"/>
  <c r="K28" i="25"/>
  <c r="J28" i="25" s="1"/>
  <c r="I41" i="24"/>
  <c r="R41" i="24" s="1"/>
  <c r="K41" i="24"/>
  <c r="J41" i="24" s="1"/>
  <c r="K32" i="24"/>
  <c r="J32" i="24" s="1"/>
  <c r="I32" i="24"/>
  <c r="R32" i="24" s="1"/>
  <c r="I31" i="24"/>
  <c r="R31" i="24" s="1"/>
  <c r="K31" i="24"/>
  <c r="J31" i="24" s="1"/>
  <c r="K29" i="24"/>
  <c r="J29" i="24" s="1"/>
  <c r="I29" i="24"/>
  <c r="P29" i="24" s="1"/>
  <c r="K28" i="24"/>
  <c r="J28" i="24" s="1"/>
  <c r="I28" i="24"/>
  <c r="N28" i="24" s="1"/>
  <c r="I41" i="23"/>
  <c r="R41" i="23" s="1"/>
  <c r="K41" i="23"/>
  <c r="J41" i="23" s="1"/>
  <c r="K29" i="23"/>
  <c r="J29" i="23" s="1"/>
  <c r="I29" i="23"/>
  <c r="P29" i="23" s="1"/>
  <c r="K32" i="23"/>
  <c r="J32" i="23" s="1"/>
  <c r="I32" i="23"/>
  <c r="R32" i="23" s="1"/>
  <c r="I31" i="23"/>
  <c r="R31" i="23" s="1"/>
  <c r="K31" i="23"/>
  <c r="J31" i="23" s="1"/>
  <c r="K28" i="22"/>
  <c r="J28" i="22" s="1"/>
  <c r="I28" i="22"/>
  <c r="N28" i="22" s="1"/>
  <c r="I41" i="22"/>
  <c r="R41" i="22" s="1"/>
  <c r="K41" i="22"/>
  <c r="J41" i="22" s="1"/>
  <c r="I31" i="22"/>
  <c r="R31" i="22" s="1"/>
  <c r="K31" i="22"/>
  <c r="J31" i="22" s="1"/>
  <c r="I32" i="22"/>
  <c r="R32" i="22" s="1"/>
  <c r="K32" i="22"/>
  <c r="J32" i="22" s="1"/>
  <c r="I34" i="22"/>
  <c r="P34" i="22" s="1"/>
  <c r="K34" i="22"/>
  <c r="J34" i="22" s="1"/>
  <c r="K29" i="22"/>
  <c r="J29" i="22" s="1"/>
  <c r="I29" i="22"/>
  <c r="P29" i="22" s="1"/>
  <c r="K29" i="21"/>
  <c r="J29" i="21" s="1"/>
  <c r="I29" i="21"/>
  <c r="P29" i="21" s="1"/>
  <c r="I41" i="21"/>
  <c r="R41" i="21" s="1"/>
  <c r="K41" i="21"/>
  <c r="J41" i="21" s="1"/>
  <c r="I31" i="21"/>
  <c r="R31" i="21" s="1"/>
  <c r="K31" i="21"/>
  <c r="J31" i="21" s="1"/>
  <c r="I32" i="21"/>
  <c r="R32" i="21" s="1"/>
  <c r="K32" i="21"/>
  <c r="J32" i="21" s="1"/>
  <c r="K28" i="21"/>
  <c r="J28" i="21" s="1"/>
  <c r="I28" i="21"/>
  <c r="N28" i="21" s="1"/>
  <c r="I31" i="20"/>
  <c r="R31" i="20" s="1"/>
  <c r="K31" i="20"/>
  <c r="J31" i="20" s="1"/>
  <c r="K32" i="20"/>
  <c r="J32" i="20" s="1"/>
  <c r="I32" i="20"/>
  <c r="R32" i="20" s="1"/>
  <c r="I41" i="20"/>
  <c r="R41" i="20" s="1"/>
  <c r="K41" i="20"/>
  <c r="J41" i="20" s="1"/>
  <c r="I34" i="20"/>
  <c r="P34" i="20" s="1"/>
  <c r="K34" i="20"/>
  <c r="J34" i="20" s="1"/>
  <c r="K29" i="20"/>
  <c r="J29" i="20" s="1"/>
  <c r="I29" i="20"/>
  <c r="P29" i="20" s="1"/>
  <c r="K29" i="19"/>
  <c r="J29" i="19" s="1"/>
  <c r="I29" i="19"/>
  <c r="P29" i="19" s="1"/>
  <c r="I32" i="19"/>
  <c r="R32" i="19" s="1"/>
  <c r="K32" i="19"/>
  <c r="J32" i="19" s="1"/>
  <c r="K28" i="19"/>
  <c r="J28" i="19" s="1"/>
  <c r="I28" i="19"/>
  <c r="N28" i="19" s="1"/>
  <c r="I41" i="19"/>
  <c r="R41" i="19" s="1"/>
  <c r="K41" i="19"/>
  <c r="J41" i="19" s="1"/>
  <c r="I31" i="19"/>
  <c r="R31" i="19" s="1"/>
  <c r="K31" i="19"/>
  <c r="J31" i="19" s="1"/>
  <c r="K29" i="18"/>
  <c r="J29" i="18" s="1"/>
  <c r="I29" i="18"/>
  <c r="P29" i="18" s="1"/>
  <c r="K28" i="18"/>
  <c r="J28" i="18" s="1"/>
  <c r="I28" i="18"/>
  <c r="N28" i="18" s="1"/>
  <c r="I41" i="18"/>
  <c r="R41" i="18" s="1"/>
  <c r="K41" i="18"/>
  <c r="J41" i="18" s="1"/>
  <c r="I31" i="18"/>
  <c r="R31" i="18" s="1"/>
  <c r="K31" i="18"/>
  <c r="J31" i="18" s="1"/>
  <c r="K32" i="18"/>
  <c r="J32" i="18" s="1"/>
  <c r="I32" i="18"/>
  <c r="R32" i="18" s="1"/>
  <c r="K28" i="17"/>
  <c r="J28" i="17" s="1"/>
  <c r="I28" i="17"/>
  <c r="N28" i="17" s="1"/>
  <c r="K29" i="17"/>
  <c r="J29" i="17" s="1"/>
  <c r="I29" i="17"/>
  <c r="P29" i="17" s="1"/>
  <c r="I34" i="17"/>
  <c r="P34" i="17" s="1"/>
  <c r="K34" i="17"/>
  <c r="J34" i="17" s="1"/>
  <c r="I32" i="17"/>
  <c r="R32" i="17" s="1"/>
  <c r="K32" i="17"/>
  <c r="J32" i="17" s="1"/>
  <c r="I41" i="17"/>
  <c r="R41" i="17" s="1"/>
  <c r="K41" i="17"/>
  <c r="J41" i="17" s="1"/>
  <c r="I31" i="17"/>
  <c r="R31" i="17" s="1"/>
  <c r="K31" i="17"/>
  <c r="J31" i="17" s="1"/>
  <c r="K29" i="16"/>
  <c r="J29" i="16" s="1"/>
  <c r="I29" i="16"/>
  <c r="P29" i="16" s="1"/>
  <c r="I41" i="16"/>
  <c r="R41" i="16" s="1"/>
  <c r="K41" i="16"/>
  <c r="J41" i="16" s="1"/>
  <c r="I28" i="16"/>
  <c r="N28" i="16" s="1"/>
  <c r="K28" i="16"/>
  <c r="J28" i="16" s="1"/>
  <c r="I34" i="16"/>
  <c r="P34" i="16" s="1"/>
  <c r="K34" i="16"/>
  <c r="J34" i="16" s="1"/>
  <c r="I31" i="16"/>
  <c r="R31" i="16" s="1"/>
  <c r="K31" i="16"/>
  <c r="J31" i="16" s="1"/>
  <c r="I32" i="16"/>
  <c r="R32" i="16" s="1"/>
  <c r="K32" i="16"/>
  <c r="J32" i="16" s="1"/>
  <c r="K32" i="15"/>
  <c r="J32" i="15" s="1"/>
  <c r="I32" i="15"/>
  <c r="R32" i="15" s="1"/>
  <c r="I41" i="15"/>
  <c r="R41" i="15" s="1"/>
  <c r="K41" i="15"/>
  <c r="J41" i="15" s="1"/>
  <c r="I34" i="15"/>
  <c r="P34" i="15" s="1"/>
  <c r="K34" i="15"/>
  <c r="J34" i="15" s="1"/>
  <c r="I31" i="15"/>
  <c r="R31" i="15" s="1"/>
  <c r="K31" i="15"/>
  <c r="J31" i="15" s="1"/>
  <c r="K29" i="15"/>
  <c r="J29" i="15" s="1"/>
  <c r="I29" i="15"/>
  <c r="P29" i="15" s="1"/>
  <c r="K28" i="15"/>
  <c r="J28" i="15" s="1"/>
  <c r="I28" i="15"/>
  <c r="N28" i="15" s="1"/>
  <c r="K29" i="14"/>
  <c r="J29" i="14" s="1"/>
  <c r="I29" i="14"/>
  <c r="P29" i="14" s="1"/>
  <c r="I32" i="14"/>
  <c r="R32" i="14" s="1"/>
  <c r="K32" i="14"/>
  <c r="J32" i="14" s="1"/>
  <c r="I41" i="14"/>
  <c r="R41" i="14" s="1"/>
  <c r="K41" i="14"/>
  <c r="J41" i="14" s="1"/>
  <c r="I31" i="14"/>
  <c r="R31" i="14" s="1"/>
  <c r="K31" i="14"/>
  <c r="J31" i="14" s="1"/>
  <c r="I34" i="14"/>
  <c r="P34" i="14" s="1"/>
  <c r="K34" i="14"/>
  <c r="J34" i="14" s="1"/>
  <c r="K28" i="13"/>
  <c r="J28" i="13" s="1"/>
  <c r="I28" i="13"/>
  <c r="N28" i="13" s="1"/>
  <c r="K32" i="13"/>
  <c r="J32" i="13" s="1"/>
  <c r="I32" i="13"/>
  <c r="R32" i="13" s="1"/>
  <c r="I34" i="13"/>
  <c r="P34" i="13" s="1"/>
  <c r="K34" i="13"/>
  <c r="J34" i="13" s="1"/>
  <c r="K29" i="13"/>
  <c r="J29" i="13" s="1"/>
  <c r="I29" i="13"/>
  <c r="P29" i="13" s="1"/>
  <c r="I41" i="13"/>
  <c r="R41" i="13" s="1"/>
  <c r="K41" i="13"/>
  <c r="J41" i="13" s="1"/>
  <c r="I31" i="13"/>
  <c r="R31" i="13" s="1"/>
  <c r="K31" i="13"/>
  <c r="J31" i="13" s="1"/>
  <c r="K29" i="12"/>
  <c r="J29" i="12" s="1"/>
  <c r="I29" i="12"/>
  <c r="P29" i="12" s="1"/>
  <c r="I41" i="12"/>
  <c r="R41" i="12" s="1"/>
  <c r="K41" i="12"/>
  <c r="J41" i="12" s="1"/>
  <c r="I32" i="12"/>
  <c r="R32" i="12" s="1"/>
  <c r="K32" i="12"/>
  <c r="J32" i="12" s="1"/>
  <c r="K28" i="12"/>
  <c r="J28" i="12" s="1"/>
  <c r="I28" i="12"/>
  <c r="N28" i="12" s="1"/>
  <c r="I31" i="12"/>
  <c r="R31" i="12" s="1"/>
  <c r="K31" i="12"/>
  <c r="J31" i="12" s="1"/>
  <c r="K28" i="11"/>
  <c r="J28" i="11" s="1"/>
  <c r="I28" i="11"/>
  <c r="N28" i="11" s="1"/>
  <c r="I41" i="11"/>
  <c r="R41" i="11" s="1"/>
  <c r="K41" i="11"/>
  <c r="J41" i="11" s="1"/>
  <c r="I31" i="11"/>
  <c r="R31" i="11" s="1"/>
  <c r="K31" i="11"/>
  <c r="J31" i="11" s="1"/>
  <c r="K29" i="11"/>
  <c r="J29" i="11" s="1"/>
  <c r="I29" i="11"/>
  <c r="P29" i="11" s="1"/>
  <c r="K32" i="11"/>
  <c r="J32" i="11" s="1"/>
  <c r="I32" i="11"/>
  <c r="R32" i="11" s="1"/>
  <c r="I34" i="11"/>
  <c r="P34" i="11" s="1"/>
  <c r="K34" i="11"/>
  <c r="J34" i="11" s="1"/>
  <c r="C39" i="10"/>
  <c r="C40" i="10"/>
  <c r="C41" i="10"/>
  <c r="C42" i="10"/>
  <c r="M42" i="10" s="1"/>
  <c r="C38" i="10"/>
  <c r="C34" i="10"/>
  <c r="C35" i="10"/>
  <c r="C36" i="10"/>
  <c r="C37" i="10"/>
  <c r="C33" i="10"/>
  <c r="C29" i="10"/>
  <c r="R29" i="10" s="1"/>
  <c r="C31" i="10"/>
  <c r="C32" i="10"/>
  <c r="C28" i="10"/>
  <c r="M28" i="10" s="1"/>
  <c r="I42" i="10"/>
  <c r="R42" i="10" s="1"/>
  <c r="I36" i="10"/>
  <c r="I35" i="10"/>
  <c r="I34" i="10"/>
  <c r="I33" i="10"/>
  <c r="K30" i="10"/>
  <c r="J30" i="10" s="1"/>
  <c r="I29" i="10"/>
  <c r="S13" i="10"/>
  <c r="T13" i="10" s="1"/>
  <c r="Q13" i="10"/>
  <c r="R13" i="10" s="1"/>
  <c r="U13" i="10" s="1"/>
  <c r="U12" i="10"/>
  <c r="T12" i="10"/>
  <c r="S12" i="10"/>
  <c r="S10" i="10"/>
  <c r="T10" i="10" s="1"/>
  <c r="Q10" i="10"/>
  <c r="R10" i="10" s="1"/>
  <c r="U10" i="10" s="1"/>
  <c r="U9" i="10"/>
  <c r="T9" i="10"/>
  <c r="S9" i="10"/>
  <c r="S7" i="10"/>
  <c r="T7" i="10" s="1"/>
  <c r="Q7" i="10"/>
  <c r="R7" i="10" s="1"/>
  <c r="U7" i="10" s="1"/>
  <c r="U6" i="10"/>
  <c r="T6" i="10"/>
  <c r="S6" i="10"/>
  <c r="M34" i="10" l="1"/>
  <c r="Q34" i="10"/>
  <c r="R34" i="10"/>
  <c r="O41" i="10"/>
  <c r="Q41" i="10"/>
  <c r="Q31" i="10"/>
  <c r="Q38" i="10"/>
  <c r="R38" i="10"/>
  <c r="Q40" i="10"/>
  <c r="Q36" i="10"/>
  <c r="R36" i="10"/>
  <c r="O39" i="10"/>
  <c r="R39" i="10"/>
  <c r="Q39" i="10"/>
  <c r="M33" i="10"/>
  <c r="R33" i="10"/>
  <c r="Q33" i="10"/>
  <c r="P35" i="10"/>
  <c r="R35" i="10"/>
  <c r="Q35" i="10"/>
  <c r="M32" i="10"/>
  <c r="Q29" i="10"/>
  <c r="N29" i="10"/>
  <c r="N30" i="10"/>
  <c r="M30" i="10"/>
  <c r="Q30" i="10"/>
  <c r="O30" i="10"/>
  <c r="P30" i="10"/>
  <c r="M41" i="10"/>
  <c r="N34" i="10"/>
  <c r="P29" i="10"/>
  <c r="M29" i="10"/>
  <c r="O29" i="10"/>
  <c r="O38" i="10"/>
  <c r="M39" i="10"/>
  <c r="N41" i="10"/>
  <c r="M38" i="10"/>
  <c r="K41" i="10"/>
  <c r="J41" i="10" s="1"/>
  <c r="P34" i="10"/>
  <c r="O33" i="10"/>
  <c r="P33" i="10"/>
  <c r="O34" i="10"/>
  <c r="K36" i="10"/>
  <c r="J36" i="10" s="1"/>
  <c r="K32" i="10"/>
  <c r="J32" i="10" s="1"/>
  <c r="M35" i="10"/>
  <c r="M40" i="10"/>
  <c r="N35" i="10"/>
  <c r="K37" i="10"/>
  <c r="J37" i="10" s="1"/>
  <c r="O35" i="10"/>
  <c r="O40" i="10"/>
  <c r="K31" i="10"/>
  <c r="J31" i="10" s="1"/>
  <c r="M31" i="10"/>
  <c r="K34" i="10"/>
  <c r="J34" i="10" s="1"/>
  <c r="K38" i="10"/>
  <c r="J38" i="10" s="1"/>
  <c r="K29" i="10"/>
  <c r="J29" i="10" s="1"/>
  <c r="O31" i="10"/>
  <c r="I38" i="10"/>
  <c r="P38" i="10" s="1"/>
  <c r="O42" i="10"/>
  <c r="P42" i="10"/>
  <c r="N42" i="10"/>
  <c r="M36" i="10"/>
  <c r="N36" i="10"/>
  <c r="M37" i="10"/>
  <c r="O36" i="10"/>
  <c r="P36" i="10"/>
  <c r="O37" i="10"/>
  <c r="N33" i="10"/>
  <c r="O32" i="10"/>
  <c r="Q28" i="10"/>
  <c r="O28" i="10"/>
  <c r="K28" i="10"/>
  <c r="J28" i="10" s="1"/>
  <c r="K42" i="10"/>
  <c r="J42" i="10" s="1"/>
  <c r="I31" i="10"/>
  <c r="R31" i="10" s="1"/>
  <c r="K35" i="10"/>
  <c r="J35" i="10" s="1"/>
  <c r="K39" i="10"/>
  <c r="J39" i="10" s="1"/>
  <c r="I32" i="10"/>
  <c r="R32" i="10" s="1"/>
  <c r="K40" i="10"/>
  <c r="J40" i="10" s="1"/>
  <c r="K33" i="10"/>
  <c r="J33" i="10" s="1"/>
  <c r="I40" i="10"/>
  <c r="R40" i="10" s="1"/>
  <c r="I28" i="10"/>
  <c r="N28" i="10" s="1"/>
  <c r="I37" i="10"/>
  <c r="I41" i="10"/>
  <c r="R41" i="10" s="1"/>
  <c r="I30" i="10"/>
  <c r="R30" i="10" s="1"/>
  <c r="I39" i="10"/>
  <c r="N37" i="10" l="1"/>
  <c r="R37" i="10"/>
  <c r="N32" i="10"/>
  <c r="P39" i="10"/>
  <c r="N39" i="10"/>
  <c r="P32" i="10"/>
  <c r="P37" i="10"/>
  <c r="R28" i="10"/>
  <c r="P31" i="10"/>
  <c r="P41" i="10"/>
  <c r="N31" i="10"/>
  <c r="P28" i="10"/>
  <c r="N40" i="10"/>
  <c r="P40" i="10"/>
  <c r="N38" i="10"/>
</calcChain>
</file>

<file path=xl/sharedStrings.xml><?xml version="1.0" encoding="utf-8"?>
<sst xmlns="http://schemas.openxmlformats.org/spreadsheetml/2006/main" count="4294935751" uniqueCount="194">
  <si>
    <t>Certificado</t>
  </si>
  <si>
    <t>Código</t>
  </si>
  <si>
    <t>RBC</t>
  </si>
  <si>
    <t>Medição da resistência ôhmica do enrolamento:</t>
  </si>
  <si>
    <t>Verificar a elevação de temperatura média dos enrolamentos e pontos quentes do TC sob condições de operação que produzam as perdas máximas admissíveis.</t>
  </si>
  <si>
    <t>O ensaio de elevação de temperatura deve ser realizado de forma a reproduzir as perdas que influenciam na elevação de temperatura em condições normais de operação.</t>
  </si>
  <si>
    <t>12.1.3.1 - Aplicação da corrente de ensaio</t>
  </si>
  <si>
    <t>12.1.3.2 - Determinação da resistência a frio</t>
  </si>
  <si>
    <t>A aplicação da corrente pode ser feita por meio primário, com os secundários conectados ás cargas nominais, ou por meio de um ou mais secundários, com o primário e os secundários não alimentados curto-circuitados.</t>
  </si>
  <si>
    <t>O ensaio dever ser realizado com a circulação da corrente térmica contínua nominal em todos os seus enrolamentos.</t>
  </si>
  <si>
    <t>Para medição da resistência ôhmica do enrolamento utilizou-se um miliôhmimetro (ponte de Wheatstone) ligado nos terminais do chicote secundário nos cabos identificados sob condições ambientais definidas.</t>
  </si>
  <si>
    <t>O tempo necessário para a estabilização dos valores de corrente e tensão (método da queda de tensão) ou do valor da resistência (método ponte) deve ser registrado após a medição da resistênica, no início do ensaio. Este mesmo intervalo de tempo também deve ser considerado para efetuar as primeiras leituras no final do ensaio.</t>
  </si>
  <si>
    <t>O TC deve permanecer energizado até que a taxa de variação da elevação de temperatura não exceda 1 °C por hora durante três leituras consecutivas de elevação de temperatura.</t>
  </si>
  <si>
    <t>CLIENTE</t>
  </si>
  <si>
    <t>Objeto em Teste:</t>
  </si>
  <si>
    <t>Tipo:</t>
  </si>
  <si>
    <t>DADOS TÉCNICOS</t>
  </si>
  <si>
    <t>O TC deve atender aos requisitos de 5.6, não excedendo os valores de elevação de temperatura especificados na Tabela 12 da NBR 6856.</t>
  </si>
  <si>
    <t>12.1.3 - MÉTODO DE ENSAIO</t>
  </si>
  <si>
    <t>12.1.2 - PROCEDIMENTO</t>
  </si>
  <si>
    <t>12.1.1 - OBJETIVO</t>
  </si>
  <si>
    <t>PROCEDIMENTO DE ENSAIO</t>
  </si>
  <si>
    <t>A aplicação da corrente de ensaio pode ser feita ao enrolamento primário estando os enrolamentos secundários curto-circuitados ou conectados a instrumentos de medição, ou ainda pode-se alimentar enrolamentos secundários curto-circuitados ou conectados a instrumentos de medição.
Em caso de aplicação de corrente através de enrolamentos secundários, a corrente primária deve ser verificada por meio de sistema de medição independente ao TC, ou ainda por enrolamentos secundários que não estejam sendo alimentados pela fonte de corrente.</t>
  </si>
  <si>
    <t>EXECUÇÃO E ACOMPANHAMENTO</t>
  </si>
  <si>
    <t>SERTA Transformadores</t>
  </si>
  <si>
    <t xml:space="preserve">Endereço: </t>
  </si>
  <si>
    <t>RESPONSÁVEL TÉCNICO EM EXERCÍCIO</t>
  </si>
  <si>
    <t>1 - VERIFICAÇÃO DA MARCAÇÃO DOS TERMINAIS E POLARIDADE</t>
  </si>
  <si>
    <t>2 - EXATIDÃO</t>
  </si>
  <si>
    <t>FCR</t>
  </si>
  <si>
    <t>E %</t>
  </si>
  <si>
    <t>( VA )</t>
  </si>
  <si>
    <t>Ensaio (A)</t>
  </si>
  <si>
    <t>Medições Corrigidas</t>
  </si>
  <si>
    <t>Leituras</t>
  </si>
  <si>
    <t>Carga</t>
  </si>
  <si>
    <t>Relação /</t>
  </si>
  <si>
    <t>Erro Relação Inf</t>
  </si>
  <si>
    <t>Erro Relação Sup</t>
  </si>
  <si>
    <t>Clásse</t>
  </si>
  <si>
    <t>Fatores de Correção</t>
  </si>
  <si>
    <t xml:space="preserve">Temperatura Ambiente: </t>
  </si>
  <si>
    <t xml:space="preserve">Umidade: </t>
  </si>
  <si>
    <t>Condições Ambientais Para Ensaio</t>
  </si>
  <si>
    <t>Data da Emissão</t>
  </si>
  <si>
    <t xml:space="preserve">Nome: </t>
  </si>
  <si>
    <t>CEP:</t>
  </si>
  <si>
    <t>RESPONSÁVEIS EXECUÇÃO</t>
  </si>
  <si>
    <t>Eng. Daniel Costa Monteiro - SERTA</t>
  </si>
  <si>
    <t>Umidade medida (%):</t>
  </si>
  <si>
    <t>Ángulo</t>
  </si>
  <si>
    <t>RELATÓRIO:</t>
  </si>
  <si>
    <t>FABRICANTE</t>
  </si>
  <si>
    <t>Classe de Tensão (kV):</t>
  </si>
  <si>
    <t>Isolamento Nominal (kV):</t>
  </si>
  <si>
    <t>Participantes do Ensaio: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</si>
  <si>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quaisquer lotes;
A SERTA Transformadores manterá o original deste documento arquivado em meio eletrônico por um período de cinco anos.</t>
  </si>
  <si>
    <t xml:space="preserve">Antes de imprimir, pense em sua responsabilidade e compromisso com meio ambiente.           </t>
  </si>
  <si>
    <t>RASTREABILIDADE METROLÓGICA</t>
  </si>
  <si>
    <t>Instrumento</t>
  </si>
  <si>
    <t>Fabricante</t>
  </si>
  <si>
    <t>Data Calibração</t>
  </si>
  <si>
    <t>Data Próxima Calibração</t>
  </si>
  <si>
    <t>Temperatura Ambiente (ºC):</t>
  </si>
  <si>
    <t>MEDIÇÕES E RESULTADOS</t>
  </si>
  <si>
    <t>Nº SÉRIE:</t>
  </si>
  <si>
    <t>Data do Ensaio</t>
  </si>
  <si>
    <t>Incerteza</t>
  </si>
  <si>
    <t>Relação Nominal TC:</t>
  </si>
  <si>
    <t>Fator Térmico:</t>
  </si>
  <si>
    <t>b</t>
  </si>
  <si>
    <t>Carga para TC</t>
  </si>
  <si>
    <t>Medidor Relação de TC</t>
  </si>
  <si>
    <t xml:space="preserve">REGISTRO DE LEITURAS EXATIDÃO TC </t>
  </si>
  <si>
    <t>A Ensaio (%)</t>
  </si>
  <si>
    <t>TC Padrão CE</t>
  </si>
  <si>
    <t>Classe de Exatidão:</t>
  </si>
  <si>
    <t>Carga (VA):</t>
  </si>
  <si>
    <t>: Técnico Laboratório - SERTA</t>
  </si>
  <si>
    <t>33.040-230</t>
  </si>
  <si>
    <t>IEC</t>
  </si>
  <si>
    <t>Termigrômetro</t>
  </si>
  <si>
    <t>Glauber</t>
  </si>
  <si>
    <t>Para determinar a polaridade e verificar as marcações dos terminais, fazemos a comparação com um TC de polaridade conhecida durante teste de exatidão e conferimos as identificações do equipamento se estão conforme a norma de referência ou solicitações especificas do cliente.</t>
  </si>
  <si>
    <t>FASE - Nº Série</t>
  </si>
  <si>
    <t>Coordenador Qualidade - SERTA</t>
  </si>
  <si>
    <t>EMISSÃO DE RELATÓRIOS DE ENSAIO</t>
  </si>
  <si>
    <t>FR0200
Rev: 00</t>
  </si>
  <si>
    <t>0,5S 1%</t>
  </si>
  <si>
    <t>0,5S 5%</t>
  </si>
  <si>
    <t>0,5S 20, 100 e 120%</t>
  </si>
  <si>
    <t>Pontos 0,5S 1%</t>
  </si>
  <si>
    <t>Pntos 0,5S 5%</t>
  </si>
  <si>
    <t>Pontos 0,5S 20, 100 e 120%</t>
  </si>
  <si>
    <t>RELATÓRIO ENSAIO DE EXATIDÃO TC E VERIFICAÇÃO DA MARCAÇÃO DOS TERMINAIS E POLARIDADE - IEC 0,5S</t>
  </si>
  <si>
    <t>COMERCIAL INGEOELECTRICA SAS</t>
  </si>
  <si>
    <t>Carrera. 21, 169-7, Oficina 201, BOGOTÁ DC &gt; CO</t>
  </si>
  <si>
    <t>Conjuntos de Medição</t>
  </si>
  <si>
    <t>CMT17110</t>
  </si>
  <si>
    <t>38/95/---</t>
  </si>
  <si>
    <t>1,5</t>
  </si>
  <si>
    <t>0,5S</t>
  </si>
  <si>
    <t>Normas de referência:</t>
  </si>
  <si>
    <t>NTC 5933:2012 - (IEC 81689-1:2007) - IEC 61869-2:2012 -</t>
  </si>
  <si>
    <t>IEC 61869-3:2011 - IEC 61869-2:2013</t>
  </si>
  <si>
    <t>Tec. Responsável Glauber Antonio Pires Soares- SERTA</t>
  </si>
  <si>
    <t>METRINS</t>
  </si>
  <si>
    <t>CE 516</t>
  </si>
  <si>
    <t>Não</t>
  </si>
  <si>
    <t>Rastreável</t>
  </si>
  <si>
    <t>Rastrável</t>
  </si>
  <si>
    <t>Documento eletrônico com assinatura digital. A autenticidade deste documento pode ser verificada através de envio de e-mail para: inspecao@sertaconjuntosdemedicao.com.br</t>
  </si>
  <si>
    <t>Rua José Calixto, 200 - Santa Luzia - MG &gt; Brasil</t>
  </si>
  <si>
    <t>15ºC A 28ºC</t>
  </si>
  <si>
    <t>55% (+/- 20)</t>
  </si>
  <si>
    <t>0,02</t>
  </si>
  <si>
    <t>0,3</t>
  </si>
  <si>
    <t>A - 25757/25/02</t>
  </si>
  <si>
    <t>B - 25757/25/02</t>
  </si>
  <si>
    <t>C - 25757/25/02</t>
  </si>
  <si>
    <t>4:1/1%</t>
  </si>
  <si>
    <t>4:1/5%</t>
  </si>
  <si>
    <t>4:1/10%</t>
  </si>
  <si>
    <t>4:1/20%</t>
  </si>
  <si>
    <t>4:1/50%</t>
  </si>
  <si>
    <t>4:1/75%</t>
  </si>
  <si>
    <t>4:1/100%</t>
  </si>
  <si>
    <t>4:1/120%</t>
  </si>
  <si>
    <t>4:1/150%</t>
  </si>
  <si>
    <t>A - 25757/25/01</t>
  </si>
  <si>
    <t>B - 25757/25/01</t>
  </si>
  <si>
    <t>C - 25757/25/01</t>
  </si>
  <si>
    <t>A - 25757/25/03</t>
  </si>
  <si>
    <t>B - 25757/25/03</t>
  </si>
  <si>
    <t>C - 25757/25/03</t>
  </si>
  <si>
    <t>A - 25757/25/04</t>
  </si>
  <si>
    <t>B - 25757/25/04</t>
  </si>
  <si>
    <t>C - 25757/25/04</t>
  </si>
  <si>
    <t>082</t>
  </si>
  <si>
    <t>A - 25757/25/05</t>
  </si>
  <si>
    <t>B - 25757/25/05</t>
  </si>
  <si>
    <t>c - 25757/25/05</t>
  </si>
  <si>
    <t>A - 25757/25/06</t>
  </si>
  <si>
    <t>B - 25757/25/06</t>
  </si>
  <si>
    <t>C - 25757/25/06</t>
  </si>
  <si>
    <t>A - 25757/25/07</t>
  </si>
  <si>
    <t>B - 25757/25/07</t>
  </si>
  <si>
    <t>C - 25757/25/07</t>
  </si>
  <si>
    <t>A - 25757/25/08</t>
  </si>
  <si>
    <t>B - 25757/25/08</t>
  </si>
  <si>
    <t>C - 25757/25/08</t>
  </si>
  <si>
    <t>A - 25757/25/09</t>
  </si>
  <si>
    <t>B - 25757/25/09</t>
  </si>
  <si>
    <t>C - 25757/25/09</t>
  </si>
  <si>
    <t>A - 25757/25/10</t>
  </si>
  <si>
    <t>B - 25757/25/10</t>
  </si>
  <si>
    <t>C - 25757/25/10</t>
  </si>
  <si>
    <t>A - 25757/25/11</t>
  </si>
  <si>
    <t>B - 25757/25/11</t>
  </si>
  <si>
    <t>C - 25757/25/11</t>
  </si>
  <si>
    <t>A - 25757/25/12</t>
  </si>
  <si>
    <t>B - 25757/25/12</t>
  </si>
  <si>
    <t>C - 25757/25/12</t>
  </si>
  <si>
    <t>A - 25757/25/13</t>
  </si>
  <si>
    <t>B - 25757/25/13</t>
  </si>
  <si>
    <t>C - 25757/25/13</t>
  </si>
  <si>
    <t>A - 25757/25/14</t>
  </si>
  <si>
    <t>B - 25757/25/14</t>
  </si>
  <si>
    <t>C - 25757/25/14</t>
  </si>
  <si>
    <t>A - 25757/25/15</t>
  </si>
  <si>
    <t>B - 25757/25/15</t>
  </si>
  <si>
    <t>C - 25757/25/15</t>
  </si>
  <si>
    <t>A - 25757/25/16</t>
  </si>
  <si>
    <t>B - 25757/25/16</t>
  </si>
  <si>
    <t>C - 25757/25/16</t>
  </si>
  <si>
    <t>A - 25757/25/17</t>
  </si>
  <si>
    <t>B - 25757/25/17</t>
  </si>
  <si>
    <t>C - 25757/25/17</t>
  </si>
  <si>
    <t>A - 25757/25/18</t>
  </si>
  <si>
    <t>B - 25757/25/18</t>
  </si>
  <si>
    <t>C - 25757/25/18</t>
  </si>
  <si>
    <t>A - 25757/25/19</t>
  </si>
  <si>
    <t>B - 25757/25/19</t>
  </si>
  <si>
    <t>C - 25757/25/19</t>
  </si>
  <si>
    <t>A - 25757/25/20</t>
  </si>
  <si>
    <t>B - 25757/25/20</t>
  </si>
  <si>
    <t>C - 25757/25/20</t>
  </si>
  <si>
    <t>CE 156</t>
  </si>
  <si>
    <t>25757/25/0001 a 25757/25/0020</t>
  </si>
  <si>
    <t>RE25757 2025-01</t>
  </si>
  <si>
    <t>2/4:1</t>
  </si>
  <si>
    <t>Verificamos a exatidão do TC pelo método comparativo, liga-se em série os primários do TC sob ensaio e TC padrão. A diferença entre as correntes secundárias é levada a um circuito em ponte adequado para fins de medição.
O ensaio é realizado nas correntes especificadas pela classe de exatidão.
Para esse ensaio não foi considerada a influência do TP no TC.</t>
  </si>
  <si>
    <t>METRUM</t>
  </si>
  <si>
    <t>CE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</si>
</sst>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dd/mm/yy;@"/>
    <numFmt numFmtId="168" formatCode="[$-416]mmm\-yy;@"/>
  </numFmts>
  <fonts count="4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6"/>
      <color rgb="FF0070C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sz val="11"/>
      <color rgb="FF0070C0"/>
      <name val="Arial"/>
      <family val="2"/>
    </font>
    <font>
      <b/>
      <sz val="8"/>
      <name val="Symbol"/>
      <family val="1"/>
      <charset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2"/>
      <color rgb="FF0070C0"/>
      <name val="Arial"/>
      <family val="2"/>
    </font>
    <font>
      <i/>
      <sz val="14"/>
      <color rgb="FF0070C0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9"/>
      <color rgb="FF0070C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3A4F7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11" fontId="21" fillId="2" borderId="0" xfId="1" applyNumberFormat="1" applyFont="1" applyFill="1" applyAlignment="1" applyProtection="1">
      <alignment vertical="center"/>
      <protection locked="0"/>
    </xf>
    <xf numFmtId="0" fontId="19" fillId="2" borderId="0" xfId="1" applyFont="1" applyFill="1" applyAlignment="1" applyProtection="1">
      <alignment vertical="center"/>
      <protection locked="0"/>
    </xf>
    <xf numFmtId="11" fontId="19" fillId="2" borderId="0" xfId="1" applyNumberFormat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0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top"/>
      <protection locked="0"/>
    </xf>
    <xf numFmtId="0" fontId="25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horizontal="center" vertical="center"/>
      <protection locked="0"/>
    </xf>
    <xf numFmtId="0" fontId="28" fillId="2" borderId="0" xfId="1" applyFont="1" applyFill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center" vertical="center"/>
      <protection locked="0"/>
    </xf>
    <xf numFmtId="0" fontId="28" fillId="2" borderId="14" xfId="1" applyFont="1" applyFill="1" applyBorder="1" applyAlignment="1" applyProtection="1">
      <alignment horizontal="center" vertical="center"/>
      <protection locked="0"/>
    </xf>
    <xf numFmtId="0" fontId="28" fillId="2" borderId="19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Protection="1">
      <protection locked="0"/>
    </xf>
    <xf numFmtId="0" fontId="27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right" vertical="center"/>
      <protection locked="0"/>
    </xf>
    <xf numFmtId="0" fontId="20" fillId="2" borderId="0" xfId="1" applyFont="1" applyFill="1" applyAlignment="1" applyProtection="1">
      <alignment horizontal="left" vertical="center"/>
      <protection locked="0"/>
    </xf>
    <xf numFmtId="0" fontId="35" fillId="34" borderId="10" xfId="1" applyFont="1" applyFill="1" applyBorder="1" applyAlignment="1" applyProtection="1">
      <alignment horizontal="center" vertical="center" wrapText="1"/>
      <protection locked="0"/>
    </xf>
    <xf numFmtId="0" fontId="19" fillId="2" borderId="0" xfId="1" applyFont="1" applyFill="1" applyAlignment="1" applyProtection="1">
      <alignment horizontal="left" vertical="top"/>
      <protection locked="0"/>
    </xf>
    <xf numFmtId="0" fontId="26" fillId="2" borderId="0" xfId="43" applyFont="1" applyFill="1" applyAlignment="1">
      <alignment vertical="top"/>
    </xf>
    <xf numFmtId="0" fontId="26" fillId="2" borderId="0" xfId="43" applyFont="1" applyFill="1" applyAlignment="1">
      <alignment vertical="center"/>
    </xf>
    <xf numFmtId="0" fontId="26" fillId="2" borderId="0" xfId="43" applyFont="1" applyFill="1" applyAlignment="1">
      <alignment horizontal="left" vertical="top"/>
    </xf>
    <xf numFmtId="0" fontId="26" fillId="2" borderId="20" xfId="43" applyFont="1" applyFill="1" applyBorder="1" applyAlignment="1">
      <alignment vertical="top"/>
    </xf>
    <xf numFmtId="0" fontId="26" fillId="2" borderId="11" xfId="43" applyFont="1" applyFill="1" applyBorder="1" applyAlignment="1">
      <alignment vertical="top"/>
    </xf>
    <xf numFmtId="0" fontId="26" fillId="2" borderId="13" xfId="43" applyFont="1" applyFill="1" applyBorder="1" applyAlignment="1">
      <alignment vertical="top"/>
    </xf>
    <xf numFmtId="0" fontId="26" fillId="2" borderId="14" xfId="43" applyFont="1" applyFill="1" applyBorder="1" applyAlignment="1">
      <alignment vertical="top"/>
    </xf>
    <xf numFmtId="0" fontId="21" fillId="2" borderId="13" xfId="1" applyFont="1" applyFill="1" applyBorder="1" applyProtection="1">
      <protection locked="0"/>
    </xf>
    <xf numFmtId="0" fontId="26" fillId="2" borderId="17" xfId="43" applyFont="1" applyFill="1" applyBorder="1" applyAlignment="1">
      <alignment vertical="top"/>
    </xf>
    <xf numFmtId="0" fontId="26" fillId="2" borderId="15" xfId="43" applyFont="1" applyFill="1" applyBorder="1" applyAlignment="1">
      <alignment vertical="top"/>
    </xf>
    <xf numFmtId="0" fontId="19" fillId="2" borderId="0" xfId="43" applyFont="1" applyFill="1" applyAlignment="1">
      <alignment vertical="top"/>
    </xf>
    <xf numFmtId="14" fontId="26" fillId="2" borderId="0" xfId="43" applyNumberFormat="1" applyFont="1" applyFill="1" applyAlignment="1">
      <alignment horizontal="center" vertical="top"/>
    </xf>
    <xf numFmtId="0" fontId="24" fillId="2" borderId="0" xfId="43" applyFont="1" applyFill="1" applyAlignment="1">
      <alignment vertical="center"/>
    </xf>
    <xf numFmtId="0" fontId="23" fillId="2" borderId="0" xfId="1" applyFont="1" applyFill="1" applyAlignment="1" applyProtection="1">
      <alignment vertical="center"/>
      <protection locked="0"/>
    </xf>
    <xf numFmtId="14" fontId="21" fillId="2" borderId="0" xfId="1" applyNumberFormat="1" applyFont="1" applyFill="1" applyAlignment="1" applyProtection="1">
      <alignment horizontal="center" vertical="center"/>
      <protection locked="0"/>
    </xf>
    <xf numFmtId="0" fontId="28" fillId="34" borderId="10" xfId="1" applyFont="1" applyFill="1" applyBorder="1" applyAlignment="1" applyProtection="1">
      <alignment horizontal="center" vertical="center"/>
      <protection locked="0"/>
    </xf>
    <xf numFmtId="0" fontId="35" fillId="2" borderId="10" xfId="1" applyFont="1" applyFill="1" applyBorder="1" applyAlignment="1" applyProtection="1">
      <alignment horizontal="center" vertical="center" wrapText="1"/>
      <protection locked="0"/>
    </xf>
    <xf numFmtId="0" fontId="28" fillId="2" borderId="10" xfId="1" applyFont="1" applyFill="1" applyBorder="1" applyAlignment="1" applyProtection="1">
      <alignment horizontal="center" vertical="center"/>
      <protection locked="0"/>
    </xf>
    <xf numFmtId="0" fontId="29" fillId="2" borderId="10" xfId="1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22" fillId="0" borderId="0" xfId="1" quotePrefix="1" applyFont="1" applyAlignment="1" applyProtection="1">
      <alignment vertical="center"/>
      <protection locked="0"/>
    </xf>
    <xf numFmtId="0" fontId="21" fillId="0" borderId="0" xfId="1" applyFont="1" applyAlignment="1" applyProtection="1">
      <alignment horizontal="right" vertical="center"/>
      <protection locked="0"/>
    </xf>
    <xf numFmtId="0" fontId="21" fillId="0" borderId="16" xfId="1" applyFont="1" applyBorder="1" applyAlignment="1" applyProtection="1">
      <alignment vertical="center"/>
      <protection locked="0"/>
    </xf>
    <xf numFmtId="0" fontId="22" fillId="0" borderId="16" xfId="1" applyFont="1" applyBorder="1" applyAlignment="1" applyProtection="1">
      <alignment vertical="center"/>
      <protection locked="0"/>
    </xf>
    <xf numFmtId="0" fontId="36" fillId="0" borderId="16" xfId="1" quotePrefix="1" applyFont="1" applyBorder="1" applyAlignment="1" applyProtection="1">
      <alignment horizontal="center" vertical="center"/>
      <protection locked="0"/>
    </xf>
    <xf numFmtId="0" fontId="21" fillId="0" borderId="16" xfId="1" applyFont="1" applyBorder="1" applyAlignment="1" applyProtection="1">
      <alignment horizontal="right" vertical="center"/>
      <protection locked="0"/>
    </xf>
    <xf numFmtId="14" fontId="36" fillId="0" borderId="16" xfId="1" applyNumberFormat="1" applyFont="1" applyBorder="1" applyAlignment="1" applyProtection="1">
      <alignment horizontal="center" vertical="center"/>
      <protection locked="0"/>
    </xf>
    <xf numFmtId="0" fontId="26" fillId="35" borderId="0" xfId="1" applyFont="1" applyFill="1" applyAlignment="1" applyProtection="1">
      <alignment vertical="center"/>
      <protection locked="0"/>
    </xf>
    <xf numFmtId="0" fontId="20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5" fillId="2" borderId="0" xfId="1" applyFont="1" applyFill="1" applyAlignment="1" applyProtection="1">
      <alignment horizontal="left" vertical="center"/>
      <protection locked="0"/>
    </xf>
    <xf numFmtId="0" fontId="37" fillId="2" borderId="0" xfId="1" applyFont="1" applyFill="1" applyAlignment="1" applyProtection="1">
      <alignment horizontal="center" vertical="center"/>
      <protection locked="0"/>
    </xf>
    <xf numFmtId="0" fontId="22" fillId="2" borderId="0" xfId="1" applyFont="1" applyFill="1" applyAlignment="1" applyProtection="1">
      <alignment horizontal="left" vertical="center"/>
      <protection locked="0"/>
    </xf>
    <xf numFmtId="0" fontId="21" fillId="0" borderId="0" xfId="1" applyFont="1" applyProtection="1">
      <protection locked="0"/>
    </xf>
    <xf numFmtId="0" fontId="35" fillId="34" borderId="19" xfId="1" applyFont="1" applyFill="1" applyBorder="1" applyAlignment="1" applyProtection="1">
      <alignment horizontal="center" vertical="center" wrapText="1"/>
      <protection locked="0"/>
    </xf>
    <xf numFmtId="164" fontId="39" fillId="2" borderId="10" xfId="1" applyNumberFormat="1" applyFont="1" applyFill="1" applyBorder="1" applyAlignment="1" applyProtection="1">
      <alignment horizontal="center" vertical="center"/>
      <protection locked="0"/>
    </xf>
    <xf numFmtId="0" fontId="35" fillId="2" borderId="10" xfId="1" applyFont="1" applyFill="1" applyBorder="1" applyAlignment="1" applyProtection="1">
      <alignment horizontal="center" vertical="center"/>
      <protection locked="0"/>
    </xf>
    <xf numFmtId="0" fontId="34" fillId="2" borderId="0" xfId="1" applyFont="1" applyFill="1" applyAlignment="1" applyProtection="1">
      <alignment horizontal="right" vertical="center"/>
      <protection locked="0"/>
    </xf>
    <xf numFmtId="49" fontId="30" fillId="2" borderId="10" xfId="1" applyNumberFormat="1" applyFont="1" applyFill="1" applyBorder="1" applyAlignment="1" applyProtection="1">
      <alignment horizontal="center" vertical="center"/>
      <protection locked="0"/>
    </xf>
    <xf numFmtId="0" fontId="28" fillId="2" borderId="20" xfId="1" applyFont="1" applyFill="1" applyBorder="1" applyAlignment="1" applyProtection="1">
      <alignment horizontal="center" vertical="center"/>
      <protection locked="0"/>
    </xf>
    <xf numFmtId="0" fontId="28" fillId="2" borderId="11" xfId="1" applyFont="1" applyFill="1" applyBorder="1" applyAlignment="1" applyProtection="1">
      <alignment horizontal="left" vertical="center"/>
      <protection locked="0"/>
    </xf>
    <xf numFmtId="0" fontId="22" fillId="2" borderId="0" xfId="1" applyFont="1" applyFill="1" applyAlignment="1" applyProtection="1">
      <alignment horizontal="right"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19" fillId="2" borderId="0" xfId="1" applyFont="1" applyFill="1" applyProtection="1">
      <protection locked="0"/>
    </xf>
    <xf numFmtId="49" fontId="22" fillId="2" borderId="0" xfId="1" quotePrefix="1" applyNumberFormat="1" applyFont="1" applyFill="1" applyAlignment="1" applyProtection="1">
      <alignment horizontal="left" vertical="center"/>
      <protection locked="0"/>
    </xf>
    <xf numFmtId="0" fontId="28" fillId="2" borderId="11" xfId="1" applyFont="1" applyFill="1" applyBorder="1" applyAlignment="1" applyProtection="1">
      <alignment horizontal="center" vertical="center"/>
      <protection locked="0"/>
    </xf>
    <xf numFmtId="0" fontId="28" fillId="2" borderId="25" xfId="1" applyFont="1" applyFill="1" applyBorder="1" applyAlignment="1" applyProtection="1">
      <alignment horizontal="center" vertical="center"/>
      <protection locked="0"/>
    </xf>
    <xf numFmtId="0" fontId="28" fillId="2" borderId="13" xfId="1" applyFont="1" applyFill="1" applyBorder="1" applyAlignment="1" applyProtection="1">
      <alignment horizontal="center" vertical="center"/>
      <protection locked="0"/>
    </xf>
    <xf numFmtId="0" fontId="31" fillId="2" borderId="10" xfId="1" applyFont="1" applyFill="1" applyBorder="1" applyAlignment="1" applyProtection="1">
      <alignment horizontal="center" vertical="center"/>
      <protection locked="0"/>
    </xf>
    <xf numFmtId="0" fontId="31" fillId="0" borderId="10" xfId="1" applyFont="1" applyBorder="1" applyAlignment="1" applyProtection="1">
      <alignment horizontal="center" vertical="center" wrapText="1"/>
      <protection locked="0"/>
    </xf>
    <xf numFmtId="14" fontId="31" fillId="0" borderId="10" xfId="1" applyNumberFormat="1" applyFont="1" applyBorder="1" applyAlignment="1" applyProtection="1">
      <alignment horizontal="center" vertical="center" wrapText="1"/>
      <protection locked="0"/>
    </xf>
    <xf numFmtId="168" fontId="31" fillId="0" borderId="10" xfId="1" applyNumberFormat="1" applyFont="1" applyBorder="1" applyAlignment="1" applyProtection="1">
      <alignment horizontal="center" vertical="center" wrapText="1"/>
      <protection locked="0"/>
    </xf>
    <xf numFmtId="0" fontId="31" fillId="2" borderId="18" xfId="1" applyFont="1" applyFill="1" applyBorder="1" applyAlignment="1" applyProtection="1">
      <alignment horizontal="left" vertical="center" indent="1"/>
      <protection locked="0"/>
    </xf>
    <xf numFmtId="0" fontId="31" fillId="2" borderId="18" xfId="1" applyFont="1" applyFill="1" applyBorder="1" applyAlignment="1" applyProtection="1">
      <alignment horizontal="left" vertical="center" indent="3"/>
      <protection locked="0"/>
    </xf>
    <xf numFmtId="0" fontId="31" fillId="2" borderId="19" xfId="1" applyFont="1" applyFill="1" applyBorder="1" applyAlignment="1" applyProtection="1">
      <alignment horizontal="left" vertical="center" indent="3"/>
      <protection locked="0"/>
    </xf>
    <xf numFmtId="0" fontId="31" fillId="2" borderId="19" xfId="1" applyFont="1" applyFill="1" applyBorder="1" applyAlignment="1" applyProtection="1">
      <alignment horizontal="left" vertical="center" wrapText="1"/>
      <protection locked="0"/>
    </xf>
    <xf numFmtId="164" fontId="39" fillId="2" borderId="26" xfId="1" applyNumberFormat="1" applyFont="1" applyFill="1" applyBorder="1" applyAlignment="1" applyProtection="1">
      <alignment horizontal="center" vertical="center"/>
      <protection locked="0"/>
    </xf>
    <xf numFmtId="165" fontId="39" fillId="2" borderId="10" xfId="1" applyNumberFormat="1" applyFont="1" applyFill="1" applyBorder="1" applyAlignment="1" applyProtection="1">
      <alignment horizontal="center" vertical="center"/>
      <protection locked="0"/>
    </xf>
    <xf numFmtId="165" fontId="39" fillId="2" borderId="26" xfId="1" applyNumberFormat="1" applyFont="1" applyFill="1" applyBorder="1" applyAlignment="1" applyProtection="1">
      <alignment horizontal="center" vertical="center"/>
      <protection locked="0"/>
    </xf>
    <xf numFmtId="0" fontId="22" fillId="36" borderId="0" xfId="1" applyFont="1" applyFill="1" applyAlignment="1" applyProtection="1">
      <alignment vertical="center"/>
      <protection locked="0"/>
    </xf>
    <xf numFmtId="0" fontId="21" fillId="36" borderId="0" xfId="1" applyFont="1" applyFill="1" applyAlignment="1" applyProtection="1">
      <alignment horizontal="left" vertical="center"/>
      <protection locked="0"/>
    </xf>
    <xf numFmtId="0" fontId="28" fillId="2" borderId="23" xfId="1" applyFont="1" applyFill="1" applyBorder="1" applyAlignment="1" applyProtection="1">
      <alignment horizontal="center" vertical="center"/>
      <protection locked="0"/>
    </xf>
    <xf numFmtId="0" fontId="35" fillId="2" borderId="22" xfId="1" applyFont="1" applyFill="1" applyBorder="1" applyAlignment="1" applyProtection="1">
      <alignment horizontal="center" vertical="center"/>
      <protection locked="0"/>
    </xf>
    <xf numFmtId="0" fontId="28" fillId="37" borderId="10" xfId="1" applyFont="1" applyFill="1" applyBorder="1" applyAlignment="1" applyProtection="1">
      <alignment horizontal="center" vertical="center"/>
      <protection locked="0"/>
    </xf>
    <xf numFmtId="0" fontId="28" fillId="38" borderId="10" xfId="1" applyFont="1" applyFill="1" applyBorder="1" applyAlignment="1" applyProtection="1">
      <alignment horizontal="center" vertical="center"/>
      <protection locked="0"/>
    </xf>
    <xf numFmtId="0" fontId="28" fillId="39" borderId="10" xfId="1" applyFont="1" applyFill="1" applyBorder="1" applyAlignment="1" applyProtection="1">
      <alignment horizontal="center" vertical="center"/>
      <protection locked="0"/>
    </xf>
    <xf numFmtId="0" fontId="32" fillId="2" borderId="22" xfId="1" applyFont="1" applyFill="1" applyBorder="1" applyAlignment="1" applyProtection="1">
      <alignment horizontal="center" vertical="center"/>
      <protection locked="0"/>
    </xf>
    <xf numFmtId="165" fontId="39" fillId="2" borderId="39" xfId="1" applyNumberFormat="1" applyFont="1" applyFill="1" applyBorder="1" applyAlignment="1" applyProtection="1">
      <alignment horizontal="center" vertical="center"/>
      <protection locked="0"/>
    </xf>
    <xf numFmtId="164" fontId="39" fillId="2" borderId="39" xfId="1" applyNumberFormat="1" applyFont="1" applyFill="1" applyBorder="1" applyAlignment="1" applyProtection="1">
      <alignment horizontal="center" vertical="center"/>
      <protection locked="0"/>
    </xf>
    <xf numFmtId="0" fontId="33" fillId="2" borderId="44" xfId="1" applyFont="1" applyFill="1" applyBorder="1" applyAlignment="1" applyProtection="1">
      <alignment vertical="center"/>
      <protection locked="0"/>
    </xf>
    <xf numFmtId="0" fontId="33" fillId="2" borderId="45" xfId="1" applyFont="1" applyFill="1" applyBorder="1" applyAlignment="1" applyProtection="1">
      <alignment horizontal="right" vertical="center"/>
      <protection locked="0"/>
    </xf>
    <xf numFmtId="0" fontId="32" fillId="2" borderId="42" xfId="1" applyFont="1" applyFill="1" applyBorder="1" applyAlignment="1" applyProtection="1">
      <alignment horizontal="center" vertical="center"/>
      <protection locked="0"/>
    </xf>
    <xf numFmtId="0" fontId="29" fillId="2" borderId="47" xfId="1" applyFont="1" applyFill="1" applyBorder="1" applyAlignment="1" applyProtection="1">
      <alignment vertical="center" wrapText="1"/>
      <protection locked="0"/>
    </xf>
    <xf numFmtId="49" fontId="30" fillId="2" borderId="48" xfId="1" applyNumberFormat="1" applyFont="1" applyFill="1" applyBorder="1" applyAlignment="1" applyProtection="1">
      <alignment horizontal="center" vertical="center"/>
      <protection locked="0"/>
    </xf>
    <xf numFmtId="0" fontId="29" fillId="2" borderId="41" xfId="1" applyFont="1" applyFill="1" applyBorder="1" applyAlignment="1" applyProtection="1">
      <alignment vertical="center" wrapText="1"/>
      <protection locked="0"/>
    </xf>
    <xf numFmtId="49" fontId="30" fillId="2" borderId="42" xfId="1" applyNumberFormat="1" applyFont="1" applyFill="1" applyBorder="1" applyAlignment="1" applyProtection="1">
      <alignment horizontal="center" vertical="center"/>
      <protection locked="0"/>
    </xf>
    <xf numFmtId="0" fontId="28" fillId="2" borderId="49" xfId="1" applyFont="1" applyFill="1" applyBorder="1" applyAlignment="1" applyProtection="1">
      <alignment horizontal="center" vertical="center"/>
      <protection locked="0"/>
    </xf>
    <xf numFmtId="0" fontId="28" fillId="2" borderId="48" xfId="1" applyFont="1" applyFill="1" applyBorder="1" applyAlignment="1" applyProtection="1">
      <alignment horizontal="center" vertical="center"/>
      <protection locked="0"/>
    </xf>
    <xf numFmtId="0" fontId="29" fillId="2" borderId="24" xfId="1" applyFont="1" applyFill="1" applyBorder="1" applyAlignment="1" applyProtection="1">
      <alignment horizontal="left" vertical="center"/>
      <protection locked="0"/>
    </xf>
    <xf numFmtId="0" fontId="28" fillId="2" borderId="42" xfId="1" applyFont="1" applyFill="1" applyBorder="1" applyAlignment="1" applyProtection="1">
      <alignment horizontal="center" vertical="center"/>
      <protection locked="0"/>
    </xf>
    <xf numFmtId="0" fontId="29" fillId="2" borderId="30" xfId="1" applyFont="1" applyFill="1" applyBorder="1" applyAlignment="1" applyProtection="1">
      <alignment vertical="center"/>
      <protection locked="0"/>
    </xf>
    <xf numFmtId="0" fontId="28" fillId="2" borderId="52" xfId="1" applyFont="1" applyFill="1" applyBorder="1" applyAlignment="1" applyProtection="1">
      <alignment horizontal="center" vertical="center"/>
      <protection locked="0"/>
    </xf>
    <xf numFmtId="0" fontId="28" fillId="2" borderId="53" xfId="1" applyFont="1" applyFill="1" applyBorder="1" applyAlignment="1" applyProtection="1">
      <alignment horizontal="center" vertical="center"/>
      <protection locked="0"/>
    </xf>
    <xf numFmtId="0" fontId="28" fillId="2" borderId="27" xfId="1" applyFont="1" applyFill="1" applyBorder="1" applyAlignment="1" applyProtection="1">
      <alignment horizontal="left" vertical="center"/>
      <protection locked="0"/>
    </xf>
    <xf numFmtId="0" fontId="28" fillId="2" borderId="28" xfId="1" applyFont="1" applyFill="1" applyBorder="1" applyAlignment="1" applyProtection="1">
      <alignment horizontal="center" vertical="center"/>
      <protection locked="0"/>
    </xf>
    <xf numFmtId="0" fontId="30" fillId="2" borderId="40" xfId="1" applyFont="1" applyFill="1" applyBorder="1" applyAlignment="1" applyProtection="1">
      <alignment horizontal="center" vertical="center"/>
      <protection locked="0"/>
    </xf>
    <xf numFmtId="0" fontId="28" fillId="2" borderId="30" xfId="1" applyFont="1" applyFill="1" applyBorder="1" applyAlignment="1" applyProtection="1">
      <alignment horizontal="left" vertical="center"/>
      <protection locked="0"/>
    </xf>
    <xf numFmtId="0" fontId="28" fillId="2" borderId="31" xfId="1" applyFont="1" applyFill="1" applyBorder="1" applyAlignment="1" applyProtection="1">
      <alignment horizontal="center" vertical="center"/>
      <protection locked="0"/>
    </xf>
    <xf numFmtId="0" fontId="30" fillId="2" borderId="43" xfId="1" applyFont="1" applyFill="1" applyBorder="1" applyAlignment="1" applyProtection="1">
      <alignment horizontal="center" vertical="center"/>
      <protection locked="0"/>
    </xf>
    <xf numFmtId="49" fontId="30" fillId="2" borderId="38" xfId="1" applyNumberFormat="1" applyFont="1" applyFill="1" applyBorder="1" applyAlignment="1" applyProtection="1">
      <alignment horizontal="left" vertical="center"/>
      <protection locked="0"/>
    </xf>
    <xf numFmtId="165" fontId="28" fillId="2" borderId="10" xfId="1" applyNumberFormat="1" applyFont="1" applyFill="1" applyBorder="1" applyAlignment="1" applyProtection="1">
      <alignment horizontal="center" vertical="center"/>
      <protection locked="0"/>
    </xf>
    <xf numFmtId="20" fontId="28" fillId="2" borderId="24" xfId="1" applyNumberFormat="1" applyFont="1" applyFill="1" applyBorder="1" applyAlignment="1" applyProtection="1">
      <alignment horizontal="center" vertical="center"/>
      <protection locked="0"/>
    </xf>
    <xf numFmtId="0" fontId="28" fillId="2" borderId="24" xfId="1" applyFont="1" applyFill="1" applyBorder="1" applyAlignment="1" applyProtection="1">
      <alignment horizontal="center" vertical="center"/>
      <protection locked="0"/>
    </xf>
    <xf numFmtId="167" fontId="39" fillId="2" borderId="54" xfId="1" applyNumberFormat="1" applyFont="1" applyFill="1" applyBorder="1" applyAlignment="1" applyProtection="1">
      <alignment horizontal="center" vertical="center"/>
      <protection locked="0"/>
    </xf>
    <xf numFmtId="0" fontId="30" fillId="2" borderId="21" xfId="1" applyFont="1" applyFill="1" applyBorder="1" applyAlignment="1" applyProtection="1">
      <alignment horizontal="center" vertical="center"/>
      <protection locked="0"/>
    </xf>
    <xf numFmtId="165" fontId="39" fillId="2" borderId="21" xfId="1" applyNumberFormat="1" applyFont="1" applyFill="1" applyBorder="1" applyAlignment="1" applyProtection="1">
      <alignment horizontal="center" vertical="center"/>
      <protection locked="0"/>
    </xf>
    <xf numFmtId="164" fontId="39" fillId="2" borderId="21" xfId="1" applyNumberFormat="1" applyFont="1" applyFill="1" applyBorder="1" applyAlignment="1" applyProtection="1">
      <alignment horizontal="center" vertical="center"/>
      <protection locked="0"/>
    </xf>
    <xf numFmtId="165" fontId="39" fillId="2" borderId="56" xfId="1" applyNumberFormat="1" applyFont="1" applyFill="1" applyBorder="1" applyAlignment="1" applyProtection="1">
      <alignment horizontal="center" vertical="center"/>
      <protection locked="0"/>
    </xf>
    <xf numFmtId="164" fontId="39" fillId="2" borderId="56" xfId="1" applyNumberFormat="1" applyFont="1" applyFill="1" applyBorder="1" applyAlignment="1" applyProtection="1">
      <alignment horizontal="center" vertical="center"/>
      <protection locked="0"/>
    </xf>
    <xf numFmtId="0" fontId="29" fillId="2" borderId="41" xfId="1" applyFont="1" applyFill="1" applyBorder="1" applyAlignment="1" applyProtection="1">
      <alignment horizontal="center" vertical="center"/>
      <protection locked="0"/>
    </xf>
    <xf numFmtId="165" fontId="40" fillId="2" borderId="39" xfId="1" applyNumberFormat="1" applyFont="1" applyFill="1" applyBorder="1" applyAlignment="1">
      <alignment horizontal="center" vertical="center"/>
    </xf>
    <xf numFmtId="165" fontId="1" fillId="2" borderId="40" xfId="1" applyNumberFormat="1" applyFill="1" applyBorder="1" applyAlignment="1">
      <alignment horizontal="center" vertical="center"/>
    </xf>
    <xf numFmtId="165" fontId="40" fillId="2" borderId="10" xfId="1" applyNumberFormat="1" applyFont="1" applyFill="1" applyBorder="1" applyAlignment="1">
      <alignment horizontal="center" vertical="center"/>
    </xf>
    <xf numFmtId="165" fontId="1" fillId="2" borderId="42" xfId="1" applyNumberFormat="1" applyFill="1" applyBorder="1" applyAlignment="1">
      <alignment horizontal="center" vertical="center"/>
    </xf>
    <xf numFmtId="165" fontId="40" fillId="2" borderId="56" xfId="1" applyNumberFormat="1" applyFont="1" applyFill="1" applyBorder="1" applyAlignment="1">
      <alignment horizontal="center" vertical="center"/>
    </xf>
    <xf numFmtId="165" fontId="1" fillId="2" borderId="55" xfId="1" applyNumberFormat="1" applyFill="1" applyBorder="1" applyAlignment="1">
      <alignment horizontal="center" vertical="center"/>
    </xf>
    <xf numFmtId="165" fontId="40" fillId="2" borderId="21" xfId="1" applyNumberFormat="1" applyFont="1" applyFill="1" applyBorder="1" applyAlignment="1">
      <alignment horizontal="center" vertical="center"/>
    </xf>
    <xf numFmtId="165" fontId="1" fillId="2" borderId="46" xfId="1" applyNumberFormat="1" applyFill="1" applyBorder="1" applyAlignment="1">
      <alignment horizontal="center" vertical="center"/>
    </xf>
    <xf numFmtId="165" fontId="40" fillId="2" borderId="26" xfId="1" applyNumberFormat="1" applyFont="1" applyFill="1" applyBorder="1" applyAlignment="1">
      <alignment horizontal="center" vertical="center"/>
    </xf>
    <xf numFmtId="165" fontId="1" fillId="2" borderId="43" xfId="1" applyNumberFormat="1" applyFill="1" applyBorder="1" applyAlignment="1">
      <alignment horizontal="center" vertical="center"/>
    </xf>
    <xf numFmtId="9" fontId="43" fillId="2" borderId="39" xfId="44" applyFont="1" applyFill="1" applyBorder="1" applyAlignment="1" applyProtection="1">
      <alignment horizontal="center" vertical="center"/>
    </xf>
    <xf numFmtId="0" fontId="43" fillId="2" borderId="39" xfId="1" applyFont="1" applyFill="1" applyBorder="1" applyAlignment="1">
      <alignment horizontal="center" vertical="center"/>
    </xf>
    <xf numFmtId="9" fontId="43" fillId="2" borderId="10" xfId="44" applyFont="1" applyFill="1" applyBorder="1" applyAlignment="1" applyProtection="1">
      <alignment horizontal="center" vertical="center"/>
    </xf>
    <xf numFmtId="0" fontId="43" fillId="2" borderId="10" xfId="1" applyFont="1" applyFill="1" applyBorder="1" applyAlignment="1">
      <alignment horizontal="center" vertical="center"/>
    </xf>
    <xf numFmtId="9" fontId="43" fillId="2" borderId="56" xfId="44" applyFont="1" applyFill="1" applyBorder="1" applyAlignment="1" applyProtection="1">
      <alignment horizontal="center" vertical="center"/>
    </xf>
    <xf numFmtId="0" fontId="43" fillId="2" borderId="56" xfId="1" applyFont="1" applyFill="1" applyBorder="1" applyAlignment="1">
      <alignment horizontal="center" vertical="center"/>
    </xf>
    <xf numFmtId="0" fontId="43" fillId="2" borderId="21" xfId="1" applyFont="1" applyFill="1" applyBorder="1" applyAlignment="1">
      <alignment horizontal="center" vertical="center"/>
    </xf>
    <xf numFmtId="0" fontId="43" fillId="2" borderId="26" xfId="1" applyFont="1" applyFill="1" applyBorder="1" applyAlignment="1">
      <alignment horizontal="center" vertical="center"/>
    </xf>
    <xf numFmtId="165" fontId="28" fillId="2" borderId="13" xfId="1" applyNumberFormat="1" applyFont="1" applyFill="1" applyBorder="1" applyAlignment="1" applyProtection="1">
      <alignment horizontal="center" vertical="center"/>
      <protection locked="0"/>
    </xf>
    <xf numFmtId="165" fontId="28" fillId="2" borderId="14" xfId="1" applyNumberFormat="1" applyFont="1" applyFill="1" applyBorder="1" applyAlignment="1" applyProtection="1">
      <alignment horizontal="center" vertical="center"/>
      <protection locked="0"/>
    </xf>
    <xf numFmtId="1" fontId="22" fillId="0" borderId="0" xfId="1" applyNumberFormat="1" applyFont="1" applyAlignment="1" applyProtection="1">
      <alignment vertical="center"/>
      <protection locked="0"/>
    </xf>
    <xf numFmtId="14" fontId="44" fillId="0" borderId="0" xfId="1" applyNumberFormat="1" applyFont="1" applyAlignment="1" applyProtection="1">
      <alignment horizontal="center" vertical="center"/>
      <protection locked="0"/>
    </xf>
    <xf numFmtId="0" fontId="21" fillId="36" borderId="0" xfId="1" applyFont="1" applyFill="1" applyAlignment="1" applyProtection="1">
      <alignment vertical="center"/>
      <protection locked="0"/>
    </xf>
    <xf numFmtId="0" fontId="22" fillId="36" borderId="0" xfId="1" applyFont="1" applyFill="1" applyAlignment="1" applyProtection="1">
      <alignment horizontal="left" vertical="center"/>
      <protection locked="0"/>
    </xf>
    <xf numFmtId="49" fontId="22" fillId="0" borderId="0" xfId="45" applyNumberFormat="1" applyFont="1" applyAlignment="1" applyProtection="1">
      <alignment horizontal="left" vertical="center"/>
      <protection locked="0"/>
    </xf>
    <xf numFmtId="0" fontId="25" fillId="2" borderId="17" xfId="1" applyFont="1" applyFill="1" applyBorder="1" applyAlignment="1" applyProtection="1">
      <alignment vertical="center"/>
      <protection locked="0"/>
    </xf>
    <xf numFmtId="2" fontId="28" fillId="2" borderId="42" xfId="1" applyNumberFormat="1" applyFont="1" applyFill="1" applyBorder="1" applyAlignment="1" applyProtection="1">
      <alignment horizontal="center" vertical="center"/>
      <protection locked="0"/>
    </xf>
    <xf numFmtId="2" fontId="28" fillId="2" borderId="57" xfId="1" applyNumberFormat="1" applyFont="1" applyFill="1" applyBorder="1" applyAlignment="1" applyProtection="1">
      <alignment horizontal="center" vertical="center"/>
      <protection locked="0"/>
    </xf>
    <xf numFmtId="0" fontId="30" fillId="2" borderId="58" xfId="1" applyFont="1" applyFill="1" applyBorder="1" applyAlignment="1" applyProtection="1">
      <alignment horizontal="center" vertical="center"/>
      <protection locked="0"/>
    </xf>
    <xf numFmtId="0" fontId="30" fillId="2" borderId="10" xfId="1" applyFont="1" applyFill="1" applyBorder="1" applyAlignment="1" applyProtection="1">
      <alignment horizontal="center" vertical="center"/>
      <protection locked="0"/>
    </xf>
    <xf numFmtId="0" fontId="29" fillId="2" borderId="0" xfId="1" applyFont="1" applyFill="1" applyAlignment="1" applyProtection="1">
      <alignment horizontal="center" vertical="center"/>
      <protection locked="0"/>
    </xf>
    <xf numFmtId="0" fontId="34" fillId="2" borderId="0" xfId="1" applyFont="1" applyFill="1" applyAlignment="1" applyProtection="1">
      <alignment horizontal="center" vertical="center"/>
      <protection locked="0"/>
    </xf>
    <xf numFmtId="49" fontId="29" fillId="2" borderId="0" xfId="1" applyNumberFormat="1" applyFont="1" applyFill="1" applyAlignment="1" applyProtection="1">
      <alignment horizontal="center" vertical="center"/>
      <protection locked="0"/>
    </xf>
    <xf numFmtId="0" fontId="29" fillId="2" borderId="48" xfId="1" applyFont="1" applyFill="1" applyBorder="1" applyAlignment="1" applyProtection="1">
      <alignment horizontal="center" vertical="center"/>
      <protection locked="0"/>
    </xf>
    <xf numFmtId="49" fontId="30" fillId="2" borderId="0" xfId="1" applyNumberFormat="1" applyFont="1" applyFill="1" applyAlignment="1" applyProtection="1">
      <alignment horizontal="center" vertical="center"/>
      <protection locked="0"/>
    </xf>
    <xf numFmtId="0" fontId="33" fillId="2" borderId="0" xfId="1" applyFont="1" applyFill="1" applyAlignment="1" applyProtection="1">
      <alignment horizontal="center" vertical="center"/>
      <protection locked="0"/>
    </xf>
    <xf numFmtId="0" fontId="33" fillId="2" borderId="48" xfId="1" applyFont="1" applyFill="1" applyBorder="1" applyAlignment="1" applyProtection="1">
      <alignment horizontal="center" vertical="center"/>
      <protection locked="0"/>
    </xf>
    <xf numFmtId="11" fontId="28" fillId="2" borderId="0" xfId="1" applyNumberFormat="1" applyFont="1" applyFill="1" applyAlignment="1" applyProtection="1">
      <alignment horizontal="center" vertical="center"/>
      <protection locked="0"/>
    </xf>
    <xf numFmtId="0" fontId="32" fillId="2" borderId="48" xfId="1" applyFont="1" applyFill="1" applyBorder="1" applyAlignment="1" applyProtection="1">
      <alignment horizontal="center" vertical="center"/>
      <protection locked="0"/>
    </xf>
    <xf numFmtId="165" fontId="29" fillId="2" borderId="0" xfId="1" applyNumberFormat="1" applyFont="1" applyFill="1" applyAlignment="1" applyProtection="1">
      <alignment horizontal="center" vertical="center"/>
      <protection locked="0"/>
    </xf>
    <xf numFmtId="166" fontId="29" fillId="2" borderId="48" xfId="1" applyNumberFormat="1" applyFont="1" applyFill="1" applyBorder="1" applyAlignment="1" applyProtection="1">
      <alignment horizontal="center" vertical="center"/>
      <protection locked="0"/>
    </xf>
    <xf numFmtId="167" fontId="39" fillId="2" borderId="41" xfId="1" applyNumberFormat="1" applyFont="1" applyFill="1" applyBorder="1" applyAlignment="1" applyProtection="1">
      <alignment horizontal="center" vertical="center"/>
      <protection locked="0"/>
    </xf>
    <xf numFmtId="167" fontId="39" fillId="2" borderId="63" xfId="1" applyNumberFormat="1" applyFont="1" applyFill="1" applyBorder="1" applyAlignment="1" applyProtection="1">
      <alignment horizontal="center" vertical="center"/>
      <protection locked="0"/>
    </xf>
    <xf numFmtId="167" fontId="39" fillId="2" borderId="62" xfId="1" applyNumberFormat="1" applyFont="1" applyFill="1" applyBorder="1" applyAlignment="1" applyProtection="1">
      <alignment horizontal="center" vertical="center"/>
      <protection locked="0"/>
    </xf>
    <xf numFmtId="0" fontId="30" fillId="2" borderId="56" xfId="1" applyFont="1" applyFill="1" applyBorder="1" applyAlignment="1" applyProtection="1">
      <alignment horizontal="center" vertical="center"/>
      <protection locked="0"/>
    </xf>
    <xf numFmtId="167" fontId="39" fillId="2" borderId="64" xfId="1" applyNumberFormat="1" applyFont="1" applyFill="1" applyBorder="1" applyAlignment="1" applyProtection="1">
      <alignment horizontal="center" vertical="center"/>
      <protection locked="0"/>
    </xf>
    <xf numFmtId="0" fontId="30" fillId="2" borderId="26" xfId="1" applyFont="1" applyFill="1" applyBorder="1" applyAlignment="1" applyProtection="1">
      <alignment horizontal="center" vertical="center"/>
      <protection locked="0"/>
    </xf>
    <xf numFmtId="0" fontId="38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35" fillId="34" borderId="18" xfId="1" applyFont="1" applyFill="1" applyBorder="1" applyAlignment="1" applyProtection="1">
      <alignment horizontal="center" vertical="center"/>
      <protection locked="0"/>
    </xf>
    <xf numFmtId="0" fontId="35" fillId="34" borderId="19" xfId="1" applyFont="1" applyFill="1" applyBorder="1" applyAlignment="1" applyProtection="1">
      <alignment horizontal="center" vertical="center"/>
      <protection locked="0"/>
    </xf>
    <xf numFmtId="0" fontId="41" fillId="0" borderId="33" xfId="0" applyFont="1" applyBorder="1" applyAlignment="1">
      <alignment horizontal="center"/>
    </xf>
    <xf numFmtId="0" fontId="41" fillId="0" borderId="34" xfId="0" applyFont="1" applyBorder="1" applyAlignment="1">
      <alignment horizontal="center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42" fillId="0" borderId="27" xfId="0" applyFont="1" applyBorder="1" applyAlignment="1" applyProtection="1">
      <alignment horizontal="left" vertical="center" wrapText="1"/>
      <protection locked="0"/>
    </xf>
    <xf numFmtId="0" fontId="42" fillId="0" borderId="29" xfId="0" applyFont="1" applyBorder="1" applyAlignment="1" applyProtection="1">
      <alignment horizontal="left" vertical="center" wrapText="1"/>
      <protection locked="0"/>
    </xf>
    <xf numFmtId="0" fontId="42" fillId="0" borderId="30" xfId="0" applyFont="1" applyBorder="1" applyAlignment="1" applyProtection="1">
      <alignment horizontal="left" vertical="center" wrapText="1"/>
      <protection locked="0"/>
    </xf>
    <xf numFmtId="0" fontId="42" fillId="0" borderId="32" xfId="0" applyFont="1" applyBorder="1" applyAlignment="1" applyProtection="1">
      <alignment horizontal="left" vertical="center" wrapText="1"/>
      <protection locked="0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6" fillId="35" borderId="44" xfId="1" applyFont="1" applyFill="1" applyBorder="1" applyAlignment="1" applyProtection="1">
      <alignment horizontal="left" vertical="center"/>
      <protection locked="0"/>
    </xf>
    <xf numFmtId="0" fontId="26" fillId="35" borderId="45" xfId="1" applyFont="1" applyFill="1" applyBorder="1" applyAlignment="1" applyProtection="1">
      <alignment horizontal="left" vertical="center"/>
      <protection locked="0"/>
    </xf>
    <xf numFmtId="0" fontId="26" fillId="35" borderId="59" xfId="1" applyFont="1" applyFill="1" applyBorder="1" applyAlignment="1" applyProtection="1">
      <alignment horizontal="left" vertical="center"/>
      <protection locked="0"/>
    </xf>
    <xf numFmtId="0" fontId="29" fillId="2" borderId="41" xfId="1" applyFont="1" applyFill="1" applyBorder="1" applyAlignment="1" applyProtection="1">
      <alignment horizontal="center" vertical="center"/>
      <protection locked="0"/>
    </xf>
    <xf numFmtId="0" fontId="29" fillId="2" borderId="21" xfId="1" applyFont="1" applyFill="1" applyBorder="1" applyAlignment="1" applyProtection="1">
      <alignment horizontal="center" vertical="center"/>
      <protection locked="0"/>
    </xf>
    <xf numFmtId="0" fontId="29" fillId="2" borderId="46" xfId="1" applyFont="1" applyFill="1" applyBorder="1" applyAlignment="1" applyProtection="1">
      <alignment horizontal="center" vertical="center"/>
      <protection locked="0"/>
    </xf>
    <xf numFmtId="0" fontId="28" fillId="39" borderId="22" xfId="1" applyFont="1" applyFill="1" applyBorder="1" applyAlignment="1" applyProtection="1">
      <alignment horizontal="center" vertical="center"/>
      <protection locked="0"/>
    </xf>
    <xf numFmtId="0" fontId="28" fillId="39" borderId="21" xfId="1" applyFont="1" applyFill="1" applyBorder="1" applyAlignment="1" applyProtection="1">
      <alignment horizontal="center" vertical="center"/>
      <protection locked="0"/>
    </xf>
    <xf numFmtId="0" fontId="29" fillId="2" borderId="50" xfId="1" applyFont="1" applyFill="1" applyBorder="1" applyAlignment="1" applyProtection="1">
      <alignment horizontal="center" vertical="center"/>
      <protection locked="0"/>
    </xf>
    <xf numFmtId="0" fontId="29" fillId="2" borderId="12" xfId="1" applyFont="1" applyFill="1" applyBorder="1" applyAlignment="1" applyProtection="1">
      <alignment horizontal="center" vertical="center"/>
      <protection locked="0"/>
    </xf>
    <xf numFmtId="0" fontId="29" fillId="2" borderId="51" xfId="1" applyFont="1" applyFill="1" applyBorder="1" applyAlignment="1" applyProtection="1">
      <alignment horizontal="center" vertical="center"/>
      <protection locked="0"/>
    </xf>
    <xf numFmtId="0" fontId="28" fillId="38" borderId="22" xfId="1" applyFont="1" applyFill="1" applyBorder="1" applyAlignment="1" applyProtection="1">
      <alignment horizontal="center" vertical="center"/>
      <protection locked="0"/>
    </xf>
    <xf numFmtId="0" fontId="28" fillId="38" borderId="25" xfId="1" applyFont="1" applyFill="1" applyBorder="1" applyAlignment="1" applyProtection="1">
      <alignment horizontal="center" vertical="center"/>
      <protection locked="0"/>
    </xf>
    <xf numFmtId="0" fontId="28" fillId="37" borderId="22" xfId="1" applyFont="1" applyFill="1" applyBorder="1" applyAlignment="1" applyProtection="1">
      <alignment horizontal="center" vertical="center"/>
      <protection locked="0"/>
    </xf>
    <xf numFmtId="0" fontId="28" fillId="37" borderId="21" xfId="1" applyFont="1" applyFill="1" applyBorder="1" applyAlignment="1" applyProtection="1">
      <alignment horizontal="center" vertical="center"/>
      <protection locked="0"/>
    </xf>
    <xf numFmtId="0" fontId="26" fillId="35" borderId="47" xfId="1" applyFont="1" applyFill="1" applyBorder="1" applyAlignment="1" applyProtection="1">
      <alignment horizontal="left" vertical="center"/>
      <protection locked="0"/>
    </xf>
    <xf numFmtId="0" fontId="26" fillId="35" borderId="16" xfId="1" applyFont="1" applyFill="1" applyBorder="1" applyAlignment="1" applyProtection="1">
      <alignment horizontal="left" vertical="center"/>
      <protection locked="0"/>
    </xf>
    <xf numFmtId="0" fontId="26" fillId="35" borderId="60" xfId="1" applyFont="1" applyFill="1" applyBorder="1" applyAlignment="1" applyProtection="1">
      <alignment horizontal="left" vertical="center"/>
      <protection locked="0"/>
    </xf>
    <xf numFmtId="0" fontId="35" fillId="2" borderId="41" xfId="1" applyFont="1" applyFill="1" applyBorder="1" applyAlignment="1" applyProtection="1">
      <alignment horizontal="center" vertical="center" wrapText="1"/>
      <protection locked="0"/>
    </xf>
    <xf numFmtId="0" fontId="35" fillId="2" borderId="61" xfId="1" applyFont="1" applyFill="1" applyBorder="1" applyAlignment="1" applyProtection="1">
      <alignment horizontal="center" vertical="center" wrapText="1"/>
      <protection locked="0"/>
    </xf>
    <xf numFmtId="0" fontId="35" fillId="2" borderId="10" xfId="1" applyFont="1" applyFill="1" applyBorder="1" applyAlignment="1" applyProtection="1">
      <alignment horizontal="center" vertical="center"/>
      <protection locked="0"/>
    </xf>
    <xf numFmtId="0" fontId="35" fillId="2" borderId="22" xfId="1" applyFont="1" applyFill="1" applyBorder="1" applyAlignment="1" applyProtection="1">
      <alignment horizontal="center" vertical="center"/>
      <protection locked="0"/>
    </xf>
    <xf numFmtId="0" fontId="35" fillId="2" borderId="42" xfId="1" applyFont="1" applyFill="1" applyBorder="1" applyAlignment="1" applyProtection="1">
      <alignment horizontal="center" vertical="center"/>
      <protection locked="0"/>
    </xf>
    <xf numFmtId="0" fontId="35" fillId="2" borderId="57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1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center" vertical="center" wrapText="1"/>
      <protection locked="0"/>
    </xf>
  </cellXfs>
  <cellStyles count="46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23000000}"/>
    <cellStyle name="Normal 2 2" xfId="43" xr:uid="{00000000-0005-0000-0000-000024000000}"/>
    <cellStyle name="Normal 2 3" xfId="45" xr:uid="{00000000-0005-0000-0000-000025000000}"/>
    <cellStyle name="Nota" xfId="16" builtinId="10" customBuiltin="1"/>
    <cellStyle name="Porcentagem" xfId="44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0"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6-4438-BBEA-D78A755FA34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016-4438-BBEA-D78A755FA34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016-4438-BBEA-D78A755F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9-40D9-875D-F624A4B75BE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8F9-40D9-875D-F624A4B75BE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8F9-40D9-875D-F624A4B75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5-4F6A-AA7F-D5043DB8A3B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4A5-4F6A-AA7F-D5043DB8A3B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4A5-4F6A-AA7F-D5043DB8A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0-4609-9943-D9F71A29E6D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20-4609-9943-D9F71A29E6D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420-4609-9943-D9F71A29E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'1'!$H$28:$H$37</c:f>
              <c:numCache>
                <c:formatCode>0.0000</c:formatCode>
                <c:ptCount val="10"/>
                <c:pt idx="0">
                  <c:v>2.883</c:v>
                </c:pt>
                <c:pt idx="1">
                  <c:v>1.827</c:v>
                </c:pt>
                <c:pt idx="2">
                  <c:v>1.2969999999999999</c:v>
                </c:pt>
                <c:pt idx="3">
                  <c:v>0.74</c:v>
                </c:pt>
                <c:pt idx="4">
                  <c:v>0.6429999999999999</c:v>
                </c:pt>
                <c:pt idx="5">
                  <c:v>-1.1970000000000001</c:v>
                </c:pt>
                <c:pt idx="6">
                  <c:v>0.92700000000000005</c:v>
                </c:pt>
                <c:pt idx="7">
                  <c:v>1.0469999999999999</c:v>
                </c:pt>
                <c:pt idx="8">
                  <c:v>0.77</c:v>
                </c:pt>
                <c:pt idx="9">
                  <c:v>0.74299999999999999</c:v>
                </c:pt>
              </c:numCache>
            </c:numRef>
          </c:xVal>
          <c:yVal>
            <c:numRef>
              <c:f>'1'!$I$28:$I$37</c:f>
              <c:numCache>
                <c:formatCode>0.0000</c:formatCode>
                <c:ptCount val="10"/>
                <c:pt idx="0">
                  <c:v>1.0008833000000001</c:v>
                </c:pt>
                <c:pt idx="1">
                  <c:v>1.0007333</c:v>
                </c:pt>
                <c:pt idx="2">
                  <c:v>1.0007200000000001</c:v>
                </c:pt>
                <c:pt idx="3">
                  <c:v>1.0004999999999999</c:v>
                </c:pt>
                <c:pt idx="4">
                  <c:v>1.0004933</c:v>
                </c:pt>
                <c:pt idx="5">
                  <c:v>1.0005633</c:v>
                </c:pt>
                <c:pt idx="6">
                  <c:v>1.0006533000000002</c:v>
                </c:pt>
                <c:pt idx="7">
                  <c:v>1.0002799999999998</c:v>
                </c:pt>
                <c:pt idx="8">
                  <c:v>1.00044</c:v>
                </c:pt>
                <c:pt idx="9">
                  <c:v>1.0004533000000002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E-4DC2-A75B-38937932FBC1}"/>
            </c:ext>
          </c:extLst>
        </c:ser>
        <c:ser>
          <c:idx val="1"/>
          <c:order val="1"/>
          <c:tx>
            <c:strRef>
              <c:f>'1'!$M$7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E-4DC2-A75B-38937932FBC1}"/>
            </c:ext>
          </c:extLst>
        </c:ser>
        <c:ser>
          <c:idx val="2"/>
          <c:order val="2"/>
          <c:tx>
            <c:strRef>
              <c:f>'1'!$M$9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E-4DC2-A75B-38937932FBC1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FE-4DC2-A75B-38937932F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E-4B6F-BE19-22AAE58BCD25}"/>
            </c:ext>
          </c:extLst>
        </c:ser>
        <c:ser>
          <c:idx val="0"/>
          <c:order val="1"/>
          <c:tx>
            <c:strRef>
              <c:f>'1'!$M$27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'1'!$M$28:$M$42</c:f>
              <c:numCache>
                <c:formatCode>General</c:formatCode>
                <c:ptCount val="15"/>
                <c:pt idx="0">
                  <c:v>2.883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-1.1970000000000001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0.64299999999999979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'1'!$N$28:$N$42</c:f>
              <c:numCache>
                <c:formatCode>General</c:formatCode>
                <c:ptCount val="15"/>
                <c:pt idx="0">
                  <c:v>1.0008833000000001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1.0005633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1.0006633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E-4B6F-BE19-22AAE58BCD25}"/>
            </c:ext>
          </c:extLst>
        </c:ser>
        <c:ser>
          <c:idx val="4"/>
          <c:order val="2"/>
          <c:tx>
            <c:strRef>
              <c:f>'1'!$M$9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AE-4B6F-BE19-22AAE58BCD25}"/>
            </c:ext>
          </c:extLst>
        </c:ser>
        <c:ser>
          <c:idx val="3"/>
          <c:order val="3"/>
          <c:tx>
            <c:strRef>
              <c:f>'1'!$O$27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1.827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0.92700000000000005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1.107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1.0006533000000002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1.0006233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E-4B6F-BE19-22AAE58BCD25}"/>
            </c:ext>
          </c:extLst>
        </c:ser>
        <c:ser>
          <c:idx val="1"/>
          <c:order val="4"/>
          <c:tx>
            <c:strRef>
              <c:f>'1'!$M$12:$M$13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AE-4B6F-BE19-22AAE58BCD25}"/>
            </c:ext>
          </c:extLst>
        </c:ser>
        <c:ser>
          <c:idx val="5"/>
          <c:order val="5"/>
          <c:tx>
            <c:strRef>
              <c:f>'1'!$Q$27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1.2969999999999999</c:v>
                </c:pt>
                <c:pt idx="3">
                  <c:v>0.74</c:v>
                </c:pt>
                <c:pt idx="4" formatCode="0.0000">
                  <c:v>0.6429999999999999</c:v>
                </c:pt>
                <c:pt idx="5">
                  <c:v>0</c:v>
                </c:pt>
                <c:pt idx="6">
                  <c:v>0</c:v>
                </c:pt>
                <c:pt idx="7">
                  <c:v>1.0469999999999999</c:v>
                </c:pt>
                <c:pt idx="8">
                  <c:v>0.77</c:v>
                </c:pt>
                <c:pt idx="9" formatCode="0.0000">
                  <c:v>0.74299999999999999</c:v>
                </c:pt>
                <c:pt idx="10">
                  <c:v>0</c:v>
                </c:pt>
                <c:pt idx="11">
                  <c:v>0</c:v>
                </c:pt>
                <c:pt idx="12">
                  <c:v>1.1669999999999998</c:v>
                </c:pt>
                <c:pt idx="13">
                  <c:v>0.99</c:v>
                </c:pt>
                <c:pt idx="14" formatCode="0.0000">
                  <c:v>1.2729999999999999</c:v>
                </c:pt>
              </c:numCache>
            </c:numRef>
          </c:xVal>
          <c:yVal>
            <c:numRef>
              <c:f>'1'!$R$28:$R$42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1.0007200000000001</c:v>
                </c:pt>
                <c:pt idx="3">
                  <c:v>1.0004999999999999</c:v>
                </c:pt>
                <c:pt idx="4" formatCode="0.0000">
                  <c:v>1.0004933</c:v>
                </c:pt>
                <c:pt idx="5">
                  <c:v>0</c:v>
                </c:pt>
                <c:pt idx="6">
                  <c:v>0</c:v>
                </c:pt>
                <c:pt idx="7">
                  <c:v>1.0002799999999998</c:v>
                </c:pt>
                <c:pt idx="8">
                  <c:v>1.00044</c:v>
                </c:pt>
                <c:pt idx="9" formatCode="0.0000">
                  <c:v>1.0004533000000002</c:v>
                </c:pt>
                <c:pt idx="10">
                  <c:v>0</c:v>
                </c:pt>
                <c:pt idx="11">
                  <c:v>0</c:v>
                </c:pt>
                <c:pt idx="12">
                  <c:v>1.00064</c:v>
                </c:pt>
                <c:pt idx="13">
                  <c:v>1.00044</c:v>
                </c:pt>
                <c:pt idx="14" formatCode="0.0000">
                  <c:v>1.0004933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AE-4B6F-BE19-22AAE58BC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A-4A99-A19F-5B3BDC94999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66A-4A99-A19F-5B3BDC94999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66A-4A99-A19F-5B3BDC949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8-454D-9237-267DF879A83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2F8-454D-9237-267DF879A83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2F8-454D-9237-267DF879A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'2'!$H$28:$H$37</c:f>
              <c:numCache>
                <c:formatCode>0.0000</c:formatCode>
                <c:ptCount val="10"/>
                <c:pt idx="0">
                  <c:v>-0.52700000000000014</c:v>
                </c:pt>
                <c:pt idx="1">
                  <c:v>1.2970000000000002</c:v>
                </c:pt>
                <c:pt idx="2">
                  <c:v>1.0569999999999999</c:v>
                </c:pt>
                <c:pt idx="3">
                  <c:v>0.62</c:v>
                </c:pt>
                <c:pt idx="4">
                  <c:v>0.59299999999999997</c:v>
                </c:pt>
                <c:pt idx="5">
                  <c:v>0.68299999999999983</c:v>
                </c:pt>
                <c:pt idx="6">
                  <c:v>1.9970000000000001</c:v>
                </c:pt>
                <c:pt idx="7">
                  <c:v>1.4569999999999999</c:v>
                </c:pt>
                <c:pt idx="8">
                  <c:v>0.79999999999999993</c:v>
                </c:pt>
                <c:pt idx="9">
                  <c:v>0.86299999999999999</c:v>
                </c:pt>
              </c:numCache>
            </c:numRef>
          </c:xVal>
          <c:yVal>
            <c:numRef>
              <c:f>'2'!$I$28:$I$37</c:f>
              <c:numCache>
                <c:formatCode>0.0000</c:formatCode>
                <c:ptCount val="10"/>
                <c:pt idx="0">
                  <c:v>1.0006933</c:v>
                </c:pt>
                <c:pt idx="1">
                  <c:v>1.0007033000000001</c:v>
                </c:pt>
                <c:pt idx="2">
                  <c:v>1.00031</c:v>
                </c:pt>
                <c:pt idx="3">
                  <c:v>1.00048</c:v>
                </c:pt>
                <c:pt idx="4">
                  <c:v>1.0004733000000001</c:v>
                </c:pt>
                <c:pt idx="5">
                  <c:v>1.0009733000000001</c:v>
                </c:pt>
                <c:pt idx="6">
                  <c:v>1.0009233000000002</c:v>
                </c:pt>
                <c:pt idx="7">
                  <c:v>1.0005299999999999</c:v>
                </c:pt>
                <c:pt idx="8">
                  <c:v>1.0005900000000001</c:v>
                </c:pt>
                <c:pt idx="9">
                  <c:v>1.0005933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1-45AA-80EA-E0075B02F12C}"/>
            </c:ext>
          </c:extLst>
        </c:ser>
        <c:ser>
          <c:idx val="1"/>
          <c:order val="1"/>
          <c:tx>
            <c:strRef>
              <c:f>'2'!$M$7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C1-45AA-80EA-E0075B02F12C}"/>
            </c:ext>
          </c:extLst>
        </c:ser>
        <c:ser>
          <c:idx val="2"/>
          <c:order val="2"/>
          <c:tx>
            <c:strRef>
              <c:f>'2'!$M$9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C1-45AA-80EA-E0075B02F12C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C1-45AA-80EA-E0075B02F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'2'!$M$6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8-43F9-AC0D-AB98D1102D79}"/>
            </c:ext>
          </c:extLst>
        </c:ser>
        <c:ser>
          <c:idx val="0"/>
          <c:order val="1"/>
          <c:tx>
            <c:strRef>
              <c:f>'2'!$M$27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'2'!$M$28:$M$42</c:f>
              <c:numCache>
                <c:formatCode>General</c:formatCode>
                <c:ptCount val="15"/>
                <c:pt idx="0">
                  <c:v>-0.52700000000000014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0.68299999999999983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1.4729999999999999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'2'!$N$28:$N$42</c:f>
              <c:numCache>
                <c:formatCode>General</c:formatCode>
                <c:ptCount val="15"/>
                <c:pt idx="0">
                  <c:v>1.0006933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1.0009733000000001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1.0006933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88-43F9-AC0D-AB98D1102D79}"/>
            </c:ext>
          </c:extLst>
        </c:ser>
        <c:ser>
          <c:idx val="4"/>
          <c:order val="2"/>
          <c:tx>
            <c:strRef>
              <c:f>'2'!$M$9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88-43F9-AC0D-AB98D1102D79}"/>
            </c:ext>
          </c:extLst>
        </c:ser>
        <c:ser>
          <c:idx val="3"/>
          <c:order val="3"/>
          <c:tx>
            <c:strRef>
              <c:f>'2'!$O$27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'2'!$O$28:$O$42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1.2970000000000002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1.9970000000000001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1.2270000000000001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1.0007033000000001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1.0009233000000002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1.0006233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88-43F9-AC0D-AB98D1102D79}"/>
            </c:ext>
          </c:extLst>
        </c:ser>
        <c:ser>
          <c:idx val="1"/>
          <c:order val="4"/>
          <c:tx>
            <c:strRef>
              <c:f>'2'!$M$12:$M$13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'2'!$Q$12:$U$12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'2'!$Q$13:$U$13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88-43F9-AC0D-AB98D1102D79}"/>
            </c:ext>
          </c:extLst>
        </c:ser>
        <c:ser>
          <c:idx val="5"/>
          <c:order val="5"/>
          <c:tx>
            <c:strRef>
              <c:f>'2'!$Q$27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'2'!$Q$28:$Q$42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1.0569999999999999</c:v>
                </c:pt>
                <c:pt idx="3">
                  <c:v>0.62</c:v>
                </c:pt>
                <c:pt idx="4" formatCode="0.0000">
                  <c:v>0.59299999999999997</c:v>
                </c:pt>
                <c:pt idx="5">
                  <c:v>0</c:v>
                </c:pt>
                <c:pt idx="6">
                  <c:v>0</c:v>
                </c:pt>
                <c:pt idx="7">
                  <c:v>1.4569999999999999</c:v>
                </c:pt>
                <c:pt idx="8">
                  <c:v>0.79999999999999993</c:v>
                </c:pt>
                <c:pt idx="9" formatCode="0.0000">
                  <c:v>0.86299999999999999</c:v>
                </c:pt>
                <c:pt idx="10">
                  <c:v>0</c:v>
                </c:pt>
                <c:pt idx="11">
                  <c:v>0</c:v>
                </c:pt>
                <c:pt idx="12">
                  <c:v>1.147</c:v>
                </c:pt>
                <c:pt idx="13">
                  <c:v>1.66</c:v>
                </c:pt>
                <c:pt idx="14" formatCode="0.0000">
                  <c:v>2.5230000000000001</c:v>
                </c:pt>
              </c:numCache>
            </c:numRef>
          </c:xVal>
          <c:yVal>
            <c:numRef>
              <c:f>'2'!$R$28:$R$42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1.00031</c:v>
                </c:pt>
                <c:pt idx="3">
                  <c:v>1.00048</c:v>
                </c:pt>
                <c:pt idx="4" formatCode="0.0000">
                  <c:v>1.0004733000000001</c:v>
                </c:pt>
                <c:pt idx="5">
                  <c:v>0</c:v>
                </c:pt>
                <c:pt idx="6">
                  <c:v>0</c:v>
                </c:pt>
                <c:pt idx="7">
                  <c:v>1.0005299999999999</c:v>
                </c:pt>
                <c:pt idx="8">
                  <c:v>1.0005900000000001</c:v>
                </c:pt>
                <c:pt idx="9" formatCode="0.0000">
                  <c:v>1.0005933</c:v>
                </c:pt>
                <c:pt idx="10">
                  <c:v>0</c:v>
                </c:pt>
                <c:pt idx="11">
                  <c:v>0</c:v>
                </c:pt>
                <c:pt idx="12">
                  <c:v>1.0006299999999999</c:v>
                </c:pt>
                <c:pt idx="13">
                  <c:v>1.00061</c:v>
                </c:pt>
                <c:pt idx="14" formatCode="0.0000">
                  <c:v>1.0008333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88-43F9-AC0D-AB98D1102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3-4DCA-9922-B8E52624EAB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B93-4DCA-9922-B8E52624EAB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B93-4DCA-9922-B8E52624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A-47F8-8115-DB5ACF5891E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25A-47F8-8115-DB5ACF5891E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25A-47F8-8115-DB5ACF58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'3'!$H$28:$H$37</c:f>
              <c:numCache>
                <c:formatCode>0.0000</c:formatCode>
                <c:ptCount val="10"/>
                <c:pt idx="0">
                  <c:v>2.843</c:v>
                </c:pt>
                <c:pt idx="1">
                  <c:v>1.657</c:v>
                </c:pt>
                <c:pt idx="2">
                  <c:v>0.81699999999999995</c:v>
                </c:pt>
                <c:pt idx="3">
                  <c:v>0.7</c:v>
                </c:pt>
                <c:pt idx="4">
                  <c:v>0.69299999999999995</c:v>
                </c:pt>
                <c:pt idx="5">
                  <c:v>2.843</c:v>
                </c:pt>
                <c:pt idx="6">
                  <c:v>1.657</c:v>
                </c:pt>
                <c:pt idx="7">
                  <c:v>0.81699999999999995</c:v>
                </c:pt>
                <c:pt idx="8">
                  <c:v>0.7</c:v>
                </c:pt>
                <c:pt idx="9">
                  <c:v>0.69299999999999995</c:v>
                </c:pt>
              </c:numCache>
            </c:numRef>
          </c:xVal>
          <c:yVal>
            <c:numRef>
              <c:f>'3'!$I$28:$I$37</c:f>
              <c:numCache>
                <c:formatCode>0.0000</c:formatCode>
                <c:ptCount val="10"/>
                <c:pt idx="0">
                  <c:v>1.0008333</c:v>
                </c:pt>
                <c:pt idx="1">
                  <c:v>1.0006733000000001</c:v>
                </c:pt>
                <c:pt idx="2">
                  <c:v>1.0004999999999999</c:v>
                </c:pt>
                <c:pt idx="3">
                  <c:v>1.00041</c:v>
                </c:pt>
                <c:pt idx="4">
                  <c:v>1.0004033000000001</c:v>
                </c:pt>
                <c:pt idx="5">
                  <c:v>1.0008333</c:v>
                </c:pt>
                <c:pt idx="6">
                  <c:v>1.0006733000000001</c:v>
                </c:pt>
                <c:pt idx="7">
                  <c:v>1.0004999999999999</c:v>
                </c:pt>
                <c:pt idx="8">
                  <c:v>1.00041</c:v>
                </c:pt>
                <c:pt idx="9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0-4A3D-B2DE-F60B830C5A15}"/>
            </c:ext>
          </c:extLst>
        </c:ser>
        <c:ser>
          <c:idx val="1"/>
          <c:order val="1"/>
          <c:tx>
            <c:strRef>
              <c:f>'3'!$M$7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0-4A3D-B2DE-F60B830C5A15}"/>
            </c:ext>
          </c:extLst>
        </c:ser>
        <c:ser>
          <c:idx val="2"/>
          <c:order val="2"/>
          <c:tx>
            <c:strRef>
              <c:f>'3'!$M$9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0-4A3D-B2DE-F60B830C5A1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80-4A3D-B2DE-F60B830C5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'3'!$M$6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D-49F9-B490-44241DFA9815}"/>
            </c:ext>
          </c:extLst>
        </c:ser>
        <c:ser>
          <c:idx val="0"/>
          <c:order val="1"/>
          <c:tx>
            <c:strRef>
              <c:f>'3'!$M$27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'3'!$M$28:$M$42</c:f>
              <c:numCache>
                <c:formatCode>General</c:formatCode>
                <c:ptCount val="15"/>
                <c:pt idx="0">
                  <c:v>2.843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'3'!$N$28:$N$42</c:f>
              <c:numCache>
                <c:formatCode>General</c:formatCode>
                <c:ptCount val="15"/>
                <c:pt idx="0">
                  <c:v>1.0008333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D-49F9-B490-44241DFA9815}"/>
            </c:ext>
          </c:extLst>
        </c:ser>
        <c:ser>
          <c:idx val="4"/>
          <c:order val="2"/>
          <c:tx>
            <c:strRef>
              <c:f>'3'!$M$9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D-49F9-B490-44241DFA9815}"/>
            </c:ext>
          </c:extLst>
        </c:ser>
        <c:ser>
          <c:idx val="3"/>
          <c:order val="3"/>
          <c:tx>
            <c:strRef>
              <c:f>'3'!$O$27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'3'!$O$28:$O$42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'3'!$P$28:$P$42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1.0006733000000001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3D-49F9-B490-44241DFA9815}"/>
            </c:ext>
          </c:extLst>
        </c:ser>
        <c:ser>
          <c:idx val="1"/>
          <c:order val="4"/>
          <c:tx>
            <c:strRef>
              <c:f>'3'!$M$12:$M$13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'3'!$Q$12:$U$12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'3'!$Q$13:$U$13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3D-49F9-B490-44241DFA9815}"/>
            </c:ext>
          </c:extLst>
        </c:ser>
        <c:ser>
          <c:idx val="5"/>
          <c:order val="5"/>
          <c:tx>
            <c:strRef>
              <c:f>'3'!$Q$27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'3'!$Q$28:$Q$42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0.81699999999999995</c:v>
                </c:pt>
                <c:pt idx="3">
                  <c:v>0.7</c:v>
                </c:pt>
                <c:pt idx="4" formatCode="0.0000">
                  <c:v>0.69299999999999995</c:v>
                </c:pt>
                <c:pt idx="5">
                  <c:v>0</c:v>
                </c:pt>
                <c:pt idx="6">
                  <c:v>0</c:v>
                </c:pt>
                <c:pt idx="7">
                  <c:v>0.81699999999999995</c:v>
                </c:pt>
                <c:pt idx="8">
                  <c:v>0.7</c:v>
                </c:pt>
                <c:pt idx="9" formatCode="0.0000">
                  <c:v>0.69299999999999995</c:v>
                </c:pt>
                <c:pt idx="10">
                  <c:v>0</c:v>
                </c:pt>
                <c:pt idx="11">
                  <c:v>0</c:v>
                </c:pt>
                <c:pt idx="12">
                  <c:v>0.81699999999999995</c:v>
                </c:pt>
                <c:pt idx="13">
                  <c:v>0.7</c:v>
                </c:pt>
                <c:pt idx="14" formatCode="0.0000">
                  <c:v>0.69299999999999995</c:v>
                </c:pt>
              </c:numCache>
            </c:numRef>
          </c:xVal>
          <c:yVal>
            <c:numRef>
              <c:f>'3'!$R$28:$R$42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1.0004999999999999</c:v>
                </c:pt>
                <c:pt idx="3">
                  <c:v>1.00041</c:v>
                </c:pt>
                <c:pt idx="4" formatCode="0.0000">
                  <c:v>1.0004033000000001</c:v>
                </c:pt>
                <c:pt idx="5">
                  <c:v>0</c:v>
                </c:pt>
                <c:pt idx="6">
                  <c:v>0</c:v>
                </c:pt>
                <c:pt idx="7">
                  <c:v>1.0004999999999999</c:v>
                </c:pt>
                <c:pt idx="8">
                  <c:v>1.00041</c:v>
                </c:pt>
                <c:pt idx="9" formatCode="0.0000">
                  <c:v>1.0004033000000001</c:v>
                </c:pt>
                <c:pt idx="10">
                  <c:v>0</c:v>
                </c:pt>
                <c:pt idx="11">
                  <c:v>0</c:v>
                </c:pt>
                <c:pt idx="12">
                  <c:v>1.0004999999999999</c:v>
                </c:pt>
                <c:pt idx="13">
                  <c:v>1.00041</c:v>
                </c:pt>
                <c:pt idx="14" formatCode="0.0000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3D-49F9-B490-44241DFA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4C-4B28-BD44-44F926820F5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94C-4B28-BD44-44F926820F5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94C-4B28-BD44-44F92682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A-4373-8A32-A134BF8BE28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70A-4373-8A32-A134BF8BE28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70A-4373-8A32-A134BF8BE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'4'!$H$28:$H$37</c:f>
              <c:numCache>
                <c:formatCode>0.0000</c:formatCode>
                <c:ptCount val="10"/>
                <c:pt idx="0">
                  <c:v>-0.2669999999999999</c:v>
                </c:pt>
                <c:pt idx="1">
                  <c:v>1.847</c:v>
                </c:pt>
                <c:pt idx="2">
                  <c:v>1.367</c:v>
                </c:pt>
                <c:pt idx="3">
                  <c:v>0.75</c:v>
                </c:pt>
                <c:pt idx="4">
                  <c:v>0.71299999999999997</c:v>
                </c:pt>
                <c:pt idx="5">
                  <c:v>2.1930000000000001</c:v>
                </c:pt>
                <c:pt idx="6">
                  <c:v>1.4670000000000001</c:v>
                </c:pt>
                <c:pt idx="7">
                  <c:v>1.5469999999999999</c:v>
                </c:pt>
                <c:pt idx="8">
                  <c:v>0.86</c:v>
                </c:pt>
                <c:pt idx="9">
                  <c:v>0.78299999999999992</c:v>
                </c:pt>
              </c:numCache>
            </c:numRef>
          </c:xVal>
          <c:yVal>
            <c:numRef>
              <c:f>'4'!$I$28:$I$37</c:f>
              <c:numCache>
                <c:formatCode>0.0000</c:formatCode>
                <c:ptCount val="10"/>
                <c:pt idx="0">
                  <c:v>1.0006832999999999</c:v>
                </c:pt>
                <c:pt idx="1">
                  <c:v>1.0007633</c:v>
                </c:pt>
                <c:pt idx="2">
                  <c:v>1.0007599999999999</c:v>
                </c:pt>
                <c:pt idx="3">
                  <c:v>1.0005900000000001</c:v>
                </c:pt>
                <c:pt idx="4">
                  <c:v>1.0002133000000002</c:v>
                </c:pt>
                <c:pt idx="5">
                  <c:v>1.0006333000000001</c:v>
                </c:pt>
                <c:pt idx="6">
                  <c:v>1.0007233000000002</c:v>
                </c:pt>
                <c:pt idx="7">
                  <c:v>1.0005500000000001</c:v>
                </c:pt>
                <c:pt idx="8">
                  <c:v>1.00061</c:v>
                </c:pt>
                <c:pt idx="9">
                  <c:v>1.0005933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5-4E86-918D-82E5341DE115}"/>
            </c:ext>
          </c:extLst>
        </c:ser>
        <c:ser>
          <c:idx val="1"/>
          <c:order val="1"/>
          <c:tx>
            <c:strRef>
              <c:f>'4'!$M$7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5-4E86-918D-82E5341DE115}"/>
            </c:ext>
          </c:extLst>
        </c:ser>
        <c:ser>
          <c:idx val="2"/>
          <c:order val="2"/>
          <c:tx>
            <c:strRef>
              <c:f>'4'!$M$9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5-4E86-918D-82E5341DE11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D5-4E86-918D-82E5341DE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'4'!$M$6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4-4031-8DDB-994CC459D318}"/>
            </c:ext>
          </c:extLst>
        </c:ser>
        <c:ser>
          <c:idx val="0"/>
          <c:order val="1"/>
          <c:tx>
            <c:strRef>
              <c:f>'4'!$M$27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'4'!$M$28:$M$42</c:f>
              <c:numCache>
                <c:formatCode>General</c:formatCode>
                <c:ptCount val="15"/>
                <c:pt idx="0">
                  <c:v>-0.2669999999999999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2.1930000000000001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2.7229999999999999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'4'!$N$28:$N$42</c:f>
              <c:numCache>
                <c:formatCode>General</c:formatCode>
                <c:ptCount val="15"/>
                <c:pt idx="0">
                  <c:v>1.0006832999999999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1.0006333000000001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1.0008532999999999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4-4031-8DDB-994CC459D318}"/>
            </c:ext>
          </c:extLst>
        </c:ser>
        <c:ser>
          <c:idx val="4"/>
          <c:order val="2"/>
          <c:tx>
            <c:strRef>
              <c:f>'4'!$M$9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4-4031-8DDB-994CC459D318}"/>
            </c:ext>
          </c:extLst>
        </c:ser>
        <c:ser>
          <c:idx val="3"/>
          <c:order val="3"/>
          <c:tx>
            <c:strRef>
              <c:f>'4'!$O$27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'4'!$O$28:$O$42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1.847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1.4670000000000001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2.2970000000000002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'4'!$P$28:$P$42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1.0007233000000002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1.0008133000000001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44-4031-8DDB-994CC459D318}"/>
            </c:ext>
          </c:extLst>
        </c:ser>
        <c:ser>
          <c:idx val="1"/>
          <c:order val="4"/>
          <c:tx>
            <c:strRef>
              <c:f>'4'!$M$12:$M$13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'4'!$Q$12:$U$12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'4'!$Q$13:$U$13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44-4031-8DDB-994CC459D318}"/>
            </c:ext>
          </c:extLst>
        </c:ser>
        <c:ser>
          <c:idx val="5"/>
          <c:order val="5"/>
          <c:tx>
            <c:strRef>
              <c:f>'4'!$Q$27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'4'!$Q$28:$Q$42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1.367</c:v>
                </c:pt>
                <c:pt idx="3">
                  <c:v>0.75</c:v>
                </c:pt>
                <c:pt idx="4" formatCode="0.0000">
                  <c:v>0.71299999999999997</c:v>
                </c:pt>
                <c:pt idx="5">
                  <c:v>0</c:v>
                </c:pt>
                <c:pt idx="6">
                  <c:v>0</c:v>
                </c:pt>
                <c:pt idx="7">
                  <c:v>1.5469999999999999</c:v>
                </c:pt>
                <c:pt idx="8">
                  <c:v>0.86</c:v>
                </c:pt>
                <c:pt idx="9" formatCode="0.0000">
                  <c:v>0.78299999999999992</c:v>
                </c:pt>
                <c:pt idx="10">
                  <c:v>0</c:v>
                </c:pt>
                <c:pt idx="11">
                  <c:v>0</c:v>
                </c:pt>
                <c:pt idx="12">
                  <c:v>1.7170000000000001</c:v>
                </c:pt>
                <c:pt idx="13">
                  <c:v>1.24</c:v>
                </c:pt>
                <c:pt idx="14" formatCode="0.0000">
                  <c:v>1.653</c:v>
                </c:pt>
              </c:numCache>
            </c:numRef>
          </c:xVal>
          <c:yVal>
            <c:numRef>
              <c:f>'4'!$R$28:$R$42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1.0007599999999999</c:v>
                </c:pt>
                <c:pt idx="3">
                  <c:v>1.0005900000000001</c:v>
                </c:pt>
                <c:pt idx="4" formatCode="0.0000">
                  <c:v>1.0002133000000002</c:v>
                </c:pt>
                <c:pt idx="5">
                  <c:v>0</c:v>
                </c:pt>
                <c:pt idx="6">
                  <c:v>0</c:v>
                </c:pt>
                <c:pt idx="7">
                  <c:v>1.0005500000000001</c:v>
                </c:pt>
                <c:pt idx="8">
                  <c:v>1.00061</c:v>
                </c:pt>
                <c:pt idx="9" formatCode="0.0000">
                  <c:v>1.0005933</c:v>
                </c:pt>
                <c:pt idx="10">
                  <c:v>0</c:v>
                </c:pt>
                <c:pt idx="11">
                  <c:v>0</c:v>
                </c:pt>
                <c:pt idx="12">
                  <c:v>1.00085</c:v>
                </c:pt>
                <c:pt idx="13">
                  <c:v>1.0007200000000001</c:v>
                </c:pt>
                <c:pt idx="14" formatCode="0.0000">
                  <c:v>1.0007233000000002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44-4031-8DDB-994CC459D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A-41DB-9D60-9CEA5272226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68A-41DB-9D60-9CEA5272226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68A-41DB-9D60-9CEA5272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C-4CF6-8C68-AF6E4938532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B8C-4CF6-8C68-AF6E4938532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B8C-4CF6-8C68-AF6E4938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'5'!$H$28:$H$37</c:f>
              <c:numCache>
                <c:formatCode>0.0000</c:formatCode>
                <c:ptCount val="10"/>
                <c:pt idx="0">
                  <c:v>1.4729999999999999</c:v>
                </c:pt>
                <c:pt idx="1">
                  <c:v>1.5620000000000001</c:v>
                </c:pt>
                <c:pt idx="2">
                  <c:v>0.86699999999999999</c:v>
                </c:pt>
                <c:pt idx="3">
                  <c:v>0.64999999999999991</c:v>
                </c:pt>
                <c:pt idx="4">
                  <c:v>0.68399999999999994</c:v>
                </c:pt>
                <c:pt idx="5">
                  <c:v>-1.5069999999999997</c:v>
                </c:pt>
                <c:pt idx="6">
                  <c:v>0.71700000000000008</c:v>
                </c:pt>
                <c:pt idx="7">
                  <c:v>0.82699999999999996</c:v>
                </c:pt>
                <c:pt idx="8">
                  <c:v>-5.0999999999999996</c:v>
                </c:pt>
                <c:pt idx="9">
                  <c:v>-4.9670000000000005</c:v>
                </c:pt>
              </c:numCache>
            </c:numRef>
          </c:xVal>
          <c:yVal>
            <c:numRef>
              <c:f>'5'!$I$28:$I$37</c:f>
              <c:numCache>
                <c:formatCode>0.0000</c:formatCode>
                <c:ptCount val="10"/>
                <c:pt idx="0">
                  <c:v>1.0006933</c:v>
                </c:pt>
                <c:pt idx="1">
                  <c:v>1.0005533000000002</c:v>
                </c:pt>
                <c:pt idx="2">
                  <c:v>1.00057</c:v>
                </c:pt>
                <c:pt idx="3">
                  <c:v>1.00048</c:v>
                </c:pt>
                <c:pt idx="4">
                  <c:v>1.0004733000000001</c:v>
                </c:pt>
                <c:pt idx="5">
                  <c:v>1.0005033000000001</c:v>
                </c:pt>
                <c:pt idx="6">
                  <c:v>1.0005833000000002</c:v>
                </c:pt>
                <c:pt idx="7">
                  <c:v>1.0005899999999999</c:v>
                </c:pt>
                <c:pt idx="8">
                  <c:v>1.00146</c:v>
                </c:pt>
                <c:pt idx="9">
                  <c:v>1.0014433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84-47B6-A269-4E75D1A37E66}"/>
            </c:ext>
          </c:extLst>
        </c:ser>
        <c:ser>
          <c:idx val="1"/>
          <c:order val="1"/>
          <c:tx>
            <c:strRef>
              <c:f>'5'!$M$7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84-47B6-A269-4E75D1A37E66}"/>
            </c:ext>
          </c:extLst>
        </c:ser>
        <c:ser>
          <c:idx val="2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84-47B6-A269-4E75D1A37E66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84-47B6-A269-4E75D1A3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'5'!$M$6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2-4944-B4DA-AD0E96727C04}"/>
            </c:ext>
          </c:extLst>
        </c:ser>
        <c:ser>
          <c:idx val="0"/>
          <c:order val="1"/>
          <c:tx>
            <c:strRef>
              <c:f>'5'!$M$27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'5'!$M$28:$M$42</c:f>
              <c:numCache>
                <c:formatCode>General</c:formatCode>
                <c:ptCount val="15"/>
                <c:pt idx="0">
                  <c:v>1.4729999999999999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-1.5069999999999997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0.86299999999999999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'5'!$N$28:$N$42</c:f>
              <c:numCache>
                <c:formatCode>General</c:formatCode>
                <c:ptCount val="15"/>
                <c:pt idx="0">
                  <c:v>1.0006933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1.0005033000000001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1.0006533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2-4944-B4DA-AD0E96727C04}"/>
            </c:ext>
          </c:extLst>
        </c:ser>
        <c:ser>
          <c:idx val="4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2-4944-B4DA-AD0E96727C04}"/>
            </c:ext>
          </c:extLst>
        </c:ser>
        <c:ser>
          <c:idx val="3"/>
          <c:order val="3"/>
          <c:tx>
            <c:strRef>
              <c:f>'5'!$O$27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'5'!$O$28:$O$42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1.5620000000000001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0.71700000000000008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0.92700000000000005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1.0005533000000002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1.0005833000000002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1.0005833000000002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2-4944-B4DA-AD0E96727C04}"/>
            </c:ext>
          </c:extLst>
        </c:ser>
        <c:ser>
          <c:idx val="1"/>
          <c:order val="4"/>
          <c:tx>
            <c:strRef>
              <c:f>'5'!$M$12:$M$13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'5'!$Q$12:$U$12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'5'!$Q$13:$U$13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D2-4944-B4DA-AD0E96727C04}"/>
            </c:ext>
          </c:extLst>
        </c:ser>
        <c:ser>
          <c:idx val="5"/>
          <c:order val="5"/>
          <c:tx>
            <c:strRef>
              <c:f>'5'!$Q$27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'5'!$Q$28:$Q$42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0.86699999999999999</c:v>
                </c:pt>
                <c:pt idx="3">
                  <c:v>0.64999999999999991</c:v>
                </c:pt>
                <c:pt idx="4" formatCode="0.0000">
                  <c:v>0.68399999999999994</c:v>
                </c:pt>
                <c:pt idx="5">
                  <c:v>0</c:v>
                </c:pt>
                <c:pt idx="6">
                  <c:v>0</c:v>
                </c:pt>
                <c:pt idx="7">
                  <c:v>0.82699999999999996</c:v>
                </c:pt>
                <c:pt idx="8">
                  <c:v>-5.0999999999999996</c:v>
                </c:pt>
                <c:pt idx="9" formatCode="0.0000">
                  <c:v>-4.9670000000000005</c:v>
                </c:pt>
                <c:pt idx="10">
                  <c:v>0</c:v>
                </c:pt>
                <c:pt idx="11">
                  <c:v>0</c:v>
                </c:pt>
                <c:pt idx="12">
                  <c:v>0.96699999999999997</c:v>
                </c:pt>
                <c:pt idx="13">
                  <c:v>1.06</c:v>
                </c:pt>
                <c:pt idx="14" formatCode="0.0000">
                  <c:v>1.5229999999999999</c:v>
                </c:pt>
              </c:numCache>
            </c:numRef>
          </c:xVal>
          <c:yVal>
            <c:numRef>
              <c:f>'5'!$R$28:$R$42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1.00057</c:v>
                </c:pt>
                <c:pt idx="3">
                  <c:v>1.00048</c:v>
                </c:pt>
                <c:pt idx="4" formatCode="0.0000">
                  <c:v>1.0004733000000001</c:v>
                </c:pt>
                <c:pt idx="5">
                  <c:v>0</c:v>
                </c:pt>
                <c:pt idx="6">
                  <c:v>0</c:v>
                </c:pt>
                <c:pt idx="7">
                  <c:v>1.0005899999999999</c:v>
                </c:pt>
                <c:pt idx="8">
                  <c:v>1.00146</c:v>
                </c:pt>
                <c:pt idx="9" formatCode="0.0000">
                  <c:v>1.0014433</c:v>
                </c:pt>
                <c:pt idx="10">
                  <c:v>0</c:v>
                </c:pt>
                <c:pt idx="11">
                  <c:v>0</c:v>
                </c:pt>
                <c:pt idx="12">
                  <c:v>1.00058</c:v>
                </c:pt>
                <c:pt idx="13">
                  <c:v>1.00051</c:v>
                </c:pt>
                <c:pt idx="14" formatCode="0.0000">
                  <c:v>1.0005533000000002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D2-4944-B4DA-AD0E96727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8-4031-A354-0FB89DEC43E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F08-4031-A354-0FB89DEC43E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F08-4031-A354-0FB89DEC4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5-4AC5-9E01-09C73462F88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FE5-4AC5-9E01-09C73462F88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FE5-4AC5-9E01-09C73462F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'6'!$H$28:$H$37</c:f>
              <c:numCache>
                <c:formatCode>0.0000</c:formatCode>
                <c:ptCount val="10"/>
                <c:pt idx="0">
                  <c:v>-0.40700000000000003</c:v>
                </c:pt>
                <c:pt idx="1">
                  <c:v>1.367</c:v>
                </c:pt>
                <c:pt idx="2">
                  <c:v>1.0569999999999999</c:v>
                </c:pt>
                <c:pt idx="3">
                  <c:v>0.74</c:v>
                </c:pt>
                <c:pt idx="4">
                  <c:v>0.70299999999999996</c:v>
                </c:pt>
                <c:pt idx="5">
                  <c:v>-0.66699999999999982</c:v>
                </c:pt>
                <c:pt idx="6">
                  <c:v>0.94700000000000006</c:v>
                </c:pt>
                <c:pt idx="7">
                  <c:v>1.1669999999999998</c:v>
                </c:pt>
                <c:pt idx="8">
                  <c:v>0.73</c:v>
                </c:pt>
                <c:pt idx="9">
                  <c:v>0.65299999999999991</c:v>
                </c:pt>
              </c:numCache>
            </c:numRef>
          </c:xVal>
          <c:yVal>
            <c:numRef>
              <c:f>'6'!$I$28:$I$37</c:f>
              <c:numCache>
                <c:formatCode>0.0000</c:formatCode>
                <c:ptCount val="10"/>
                <c:pt idx="0">
                  <c:v>1.0007533</c:v>
                </c:pt>
                <c:pt idx="1">
                  <c:v>1.0007733000000001</c:v>
                </c:pt>
                <c:pt idx="2">
                  <c:v>1.00075</c:v>
                </c:pt>
                <c:pt idx="3">
                  <c:v>1.00048</c:v>
                </c:pt>
                <c:pt idx="4">
                  <c:v>1.0004833000000002</c:v>
                </c:pt>
                <c:pt idx="5">
                  <c:v>1.0005833</c:v>
                </c:pt>
                <c:pt idx="6">
                  <c:v>1.0006333000000001</c:v>
                </c:pt>
                <c:pt idx="7">
                  <c:v>1.00013</c:v>
                </c:pt>
                <c:pt idx="8">
                  <c:v>1.0004200000000001</c:v>
                </c:pt>
                <c:pt idx="9">
                  <c:v>1.0004333000000001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6-4AB7-A33E-D5B93447C4D9}"/>
            </c:ext>
          </c:extLst>
        </c:ser>
        <c:ser>
          <c:idx val="1"/>
          <c:order val="1"/>
          <c:tx>
            <c:strRef>
              <c:f>'6'!$M$7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D6-4AB7-A33E-D5B93447C4D9}"/>
            </c:ext>
          </c:extLst>
        </c:ser>
        <c:ser>
          <c:idx val="2"/>
          <c:order val="2"/>
          <c:tx>
            <c:strRef>
              <c:f>'6'!$M$9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D6-4AB7-A33E-D5B93447C4D9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D6-4AB7-A33E-D5B93447C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'6'!$M$6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6-479C-A162-47CC7561A629}"/>
            </c:ext>
          </c:extLst>
        </c:ser>
        <c:ser>
          <c:idx val="0"/>
          <c:order val="1"/>
          <c:tx>
            <c:strRef>
              <c:f>'6'!$M$27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'6'!$M$28:$M$42</c:f>
              <c:numCache>
                <c:formatCode>General</c:formatCode>
                <c:ptCount val="15"/>
                <c:pt idx="0">
                  <c:v>-0.40700000000000003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-0.66699999999999982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1.5029999999999999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'6'!$N$28:$N$42</c:f>
              <c:numCache>
                <c:formatCode>General</c:formatCode>
                <c:ptCount val="15"/>
                <c:pt idx="0">
                  <c:v>1.0007533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1.0005833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1.0007832999999999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6-479C-A162-47CC7561A629}"/>
            </c:ext>
          </c:extLst>
        </c:ser>
        <c:ser>
          <c:idx val="4"/>
          <c:order val="2"/>
          <c:tx>
            <c:strRef>
              <c:f>'6'!$M$9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26-479C-A162-47CC7561A629}"/>
            </c:ext>
          </c:extLst>
        </c:ser>
        <c:ser>
          <c:idx val="3"/>
          <c:order val="3"/>
          <c:tx>
            <c:strRef>
              <c:f>'6'!$O$27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'6'!$O$28:$O$42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1.367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0.94700000000000006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1.6870000000000001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'6'!$P$28:$P$42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1.0006333000000001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1.0006533000000002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26-479C-A162-47CC7561A629}"/>
            </c:ext>
          </c:extLst>
        </c:ser>
        <c:ser>
          <c:idx val="1"/>
          <c:order val="4"/>
          <c:tx>
            <c:strRef>
              <c:f>'6'!$M$12:$M$13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'6'!$Q$12:$U$12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'6'!$Q$13:$U$13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26-479C-A162-47CC7561A629}"/>
            </c:ext>
          </c:extLst>
        </c:ser>
        <c:ser>
          <c:idx val="5"/>
          <c:order val="5"/>
          <c:tx>
            <c:strRef>
              <c:f>'6'!$Q$27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'6'!$Q$28:$Q$42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1.0569999999999999</c:v>
                </c:pt>
                <c:pt idx="3">
                  <c:v>0.74</c:v>
                </c:pt>
                <c:pt idx="4" formatCode="0.0000">
                  <c:v>0.70299999999999996</c:v>
                </c:pt>
                <c:pt idx="5">
                  <c:v>0</c:v>
                </c:pt>
                <c:pt idx="6">
                  <c:v>0</c:v>
                </c:pt>
                <c:pt idx="7">
                  <c:v>1.1669999999999998</c:v>
                </c:pt>
                <c:pt idx="8">
                  <c:v>0.73</c:v>
                </c:pt>
                <c:pt idx="9" formatCode="0.0000">
                  <c:v>0.65299999999999991</c:v>
                </c:pt>
                <c:pt idx="10">
                  <c:v>0</c:v>
                </c:pt>
                <c:pt idx="11">
                  <c:v>0</c:v>
                </c:pt>
                <c:pt idx="12">
                  <c:v>1.4569999999999999</c:v>
                </c:pt>
                <c:pt idx="13">
                  <c:v>1.21</c:v>
                </c:pt>
                <c:pt idx="14" formatCode="0.0000">
                  <c:v>1.4830000000000001</c:v>
                </c:pt>
              </c:numCache>
            </c:numRef>
          </c:xVal>
          <c:yVal>
            <c:numRef>
              <c:f>'6'!$R$28:$R$42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1.00075</c:v>
                </c:pt>
                <c:pt idx="3">
                  <c:v>1.00048</c:v>
                </c:pt>
                <c:pt idx="4" formatCode="0.0000">
                  <c:v>1.0004833000000002</c:v>
                </c:pt>
                <c:pt idx="5">
                  <c:v>0</c:v>
                </c:pt>
                <c:pt idx="6">
                  <c:v>0</c:v>
                </c:pt>
                <c:pt idx="7">
                  <c:v>1.00013</c:v>
                </c:pt>
                <c:pt idx="8">
                  <c:v>1.0004200000000001</c:v>
                </c:pt>
                <c:pt idx="9" formatCode="0.0000">
                  <c:v>1.0004333000000001</c:v>
                </c:pt>
                <c:pt idx="10">
                  <c:v>0</c:v>
                </c:pt>
                <c:pt idx="11">
                  <c:v>0</c:v>
                </c:pt>
                <c:pt idx="12">
                  <c:v>1.0007299999999999</c:v>
                </c:pt>
                <c:pt idx="13">
                  <c:v>1.0005600000000001</c:v>
                </c:pt>
                <c:pt idx="14" formatCode="0.0000">
                  <c:v>1.0005933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26-479C-A162-47CC7561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E-43BC-B725-BD7F04CADAB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AAE-43BC-B725-BD7F04CADAB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AAE-43BC-B725-BD7F04CA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6-4785-9E08-2194A805DC7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EB6-4785-9E08-2194A805DC7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EB6-4785-9E08-2194A805D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'7'!$H$28:$H$37</c:f>
              <c:numCache>
                <c:formatCode>0.0000</c:formatCode>
                <c:ptCount val="10"/>
                <c:pt idx="0">
                  <c:v>-0.49699999999999989</c:v>
                </c:pt>
                <c:pt idx="1">
                  <c:v>1.0369999999999999</c:v>
                </c:pt>
                <c:pt idx="2">
                  <c:v>0.85699999999999998</c:v>
                </c:pt>
                <c:pt idx="3">
                  <c:v>0.59</c:v>
                </c:pt>
                <c:pt idx="4">
                  <c:v>0.53299999999999992</c:v>
                </c:pt>
                <c:pt idx="5">
                  <c:v>-0.10700000000000021</c:v>
                </c:pt>
                <c:pt idx="6">
                  <c:v>1.8169999999999999</c:v>
                </c:pt>
                <c:pt idx="7">
                  <c:v>1.337</c:v>
                </c:pt>
                <c:pt idx="8">
                  <c:v>0.65999999999999992</c:v>
                </c:pt>
                <c:pt idx="9">
                  <c:v>0.61299999999999999</c:v>
                </c:pt>
              </c:numCache>
            </c:numRef>
          </c:xVal>
          <c:yVal>
            <c:numRef>
              <c:f>'7'!$I$28:$I$37</c:f>
              <c:numCache>
                <c:formatCode>0.0000</c:formatCode>
                <c:ptCount val="10"/>
                <c:pt idx="0">
                  <c:v>1.0006033000000001</c:v>
                </c:pt>
                <c:pt idx="1">
                  <c:v>1.0006633</c:v>
                </c:pt>
                <c:pt idx="2">
                  <c:v>1.0003899999999999</c:v>
                </c:pt>
                <c:pt idx="3">
                  <c:v>1.00047</c:v>
                </c:pt>
                <c:pt idx="4">
                  <c:v>1.0004633000000001</c:v>
                </c:pt>
                <c:pt idx="5">
                  <c:v>1.0007033000000001</c:v>
                </c:pt>
                <c:pt idx="6">
                  <c:v>1.0007833000000002</c:v>
                </c:pt>
                <c:pt idx="7">
                  <c:v>1.00082</c:v>
                </c:pt>
                <c:pt idx="8">
                  <c:v>1.00061</c:v>
                </c:pt>
                <c:pt idx="9">
                  <c:v>1.0006033000000001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B-49E0-AC2C-325F67377C05}"/>
            </c:ext>
          </c:extLst>
        </c:ser>
        <c:ser>
          <c:idx val="1"/>
          <c:order val="1"/>
          <c:tx>
            <c:strRef>
              <c:f>'7'!$M$7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BB-49E0-AC2C-325F67377C05}"/>
            </c:ext>
          </c:extLst>
        </c:ser>
        <c:ser>
          <c:idx val="2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B-49E0-AC2C-325F67377C0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BB-49E0-AC2C-325F67377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'7'!$M$6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B-4083-8570-22703EC05ACE}"/>
            </c:ext>
          </c:extLst>
        </c:ser>
        <c:ser>
          <c:idx val="0"/>
          <c:order val="1"/>
          <c:tx>
            <c:strRef>
              <c:f>'7'!$M$27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'7'!$M$28:$M$42</c:f>
              <c:numCache>
                <c:formatCode>General</c:formatCode>
                <c:ptCount val="15"/>
                <c:pt idx="0">
                  <c:v>-0.49699999999999989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-0.10700000000000021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2.2530000000000001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'7'!$N$28:$N$42</c:f>
              <c:numCache>
                <c:formatCode>General</c:formatCode>
                <c:ptCount val="15"/>
                <c:pt idx="0">
                  <c:v>1.0006033000000001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1.0007033000000001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1.0008633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B-4083-8570-22703EC05ACE}"/>
            </c:ext>
          </c:extLst>
        </c:ser>
        <c:ser>
          <c:idx val="4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B-4083-8570-22703EC05ACE}"/>
            </c:ext>
          </c:extLst>
        </c:ser>
        <c:ser>
          <c:idx val="3"/>
          <c:order val="3"/>
          <c:tx>
            <c:strRef>
              <c:f>'7'!$O$27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'7'!$O$28:$O$42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1.0369999999999999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1.8169999999999999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2.2869999999999999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1.0007833000000002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1.0008233000000002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FB-4083-8570-22703EC05ACE}"/>
            </c:ext>
          </c:extLst>
        </c:ser>
        <c:ser>
          <c:idx val="1"/>
          <c:order val="4"/>
          <c:tx>
            <c:strRef>
              <c:f>'7'!$M$12:$M$13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'7'!$Q$12:$U$12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'7'!$Q$13:$U$13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FB-4083-8570-22703EC05ACE}"/>
            </c:ext>
          </c:extLst>
        </c:ser>
        <c:ser>
          <c:idx val="5"/>
          <c:order val="5"/>
          <c:tx>
            <c:strRef>
              <c:f>'7'!$Q$27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'7'!$Q$28:$Q$42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0.85699999999999998</c:v>
                </c:pt>
                <c:pt idx="3">
                  <c:v>0.59</c:v>
                </c:pt>
                <c:pt idx="4" formatCode="0.0000">
                  <c:v>0.53299999999999992</c:v>
                </c:pt>
                <c:pt idx="5">
                  <c:v>0</c:v>
                </c:pt>
                <c:pt idx="6">
                  <c:v>0</c:v>
                </c:pt>
                <c:pt idx="7">
                  <c:v>1.337</c:v>
                </c:pt>
                <c:pt idx="8">
                  <c:v>0.65999999999999992</c:v>
                </c:pt>
                <c:pt idx="9" formatCode="0.0000">
                  <c:v>0.61299999999999999</c:v>
                </c:pt>
                <c:pt idx="10">
                  <c:v>0</c:v>
                </c:pt>
                <c:pt idx="11">
                  <c:v>0</c:v>
                </c:pt>
                <c:pt idx="12">
                  <c:v>1.7170000000000001</c:v>
                </c:pt>
                <c:pt idx="13">
                  <c:v>1.48</c:v>
                </c:pt>
                <c:pt idx="14" formatCode="0.0000">
                  <c:v>1.7330000000000001</c:v>
                </c:pt>
              </c:numCache>
            </c:numRef>
          </c:xVal>
          <c:yVal>
            <c:numRef>
              <c:f>'7'!$R$28:$R$42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1.0003899999999999</c:v>
                </c:pt>
                <c:pt idx="3">
                  <c:v>1.00047</c:v>
                </c:pt>
                <c:pt idx="4" formatCode="0.0000">
                  <c:v>1.0004633000000001</c:v>
                </c:pt>
                <c:pt idx="5">
                  <c:v>0</c:v>
                </c:pt>
                <c:pt idx="6">
                  <c:v>0</c:v>
                </c:pt>
                <c:pt idx="7">
                  <c:v>1.00082</c:v>
                </c:pt>
                <c:pt idx="8">
                  <c:v>1.00061</c:v>
                </c:pt>
                <c:pt idx="9" formatCode="0.0000">
                  <c:v>1.0006033000000001</c:v>
                </c:pt>
                <c:pt idx="10">
                  <c:v>0</c:v>
                </c:pt>
                <c:pt idx="11">
                  <c:v>0</c:v>
                </c:pt>
                <c:pt idx="12">
                  <c:v>1.0008899999999998</c:v>
                </c:pt>
                <c:pt idx="13">
                  <c:v>1.0007300000000001</c:v>
                </c:pt>
                <c:pt idx="14" formatCode="0.0000">
                  <c:v>1.0007433000000001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FB-4083-8570-22703EC05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E-4962-A8AE-66ED75E0E09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93E-4962-A8AE-66ED75E0E09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93E-4962-A8AE-66ED75E0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3-4374-A51C-621A4EB38FC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AA3-4374-A51C-621A4EB38FC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AA3-4374-A51C-621A4EB38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'8'!$H$28:$H$37</c:f>
              <c:numCache>
                <c:formatCode>0.0000</c:formatCode>
                <c:ptCount val="10"/>
                <c:pt idx="0">
                  <c:v>-1.157</c:v>
                </c:pt>
                <c:pt idx="1">
                  <c:v>0.60699999999999998</c:v>
                </c:pt>
                <c:pt idx="2">
                  <c:v>1.0569999999999999</c:v>
                </c:pt>
                <c:pt idx="3">
                  <c:v>0.74</c:v>
                </c:pt>
                <c:pt idx="4">
                  <c:v>0.65299999999999991</c:v>
                </c:pt>
                <c:pt idx="5">
                  <c:v>-6.7000000000000171E-2</c:v>
                </c:pt>
                <c:pt idx="6">
                  <c:v>1.6970000000000001</c:v>
                </c:pt>
                <c:pt idx="7">
                  <c:v>1.3969999999999998</c:v>
                </c:pt>
                <c:pt idx="8">
                  <c:v>0.62999999999999989</c:v>
                </c:pt>
                <c:pt idx="9">
                  <c:v>0.56299999999999994</c:v>
                </c:pt>
              </c:numCache>
            </c:numRef>
          </c:xVal>
          <c:yVal>
            <c:numRef>
              <c:f>'8'!$I$28:$I$37</c:f>
              <c:numCache>
                <c:formatCode>0.0000</c:formatCode>
                <c:ptCount val="10"/>
                <c:pt idx="0">
                  <c:v>1.0005233</c:v>
                </c:pt>
                <c:pt idx="1">
                  <c:v>1.0005833000000002</c:v>
                </c:pt>
                <c:pt idx="2">
                  <c:v>1.00041</c:v>
                </c:pt>
                <c:pt idx="3">
                  <c:v>1.0005299999999999</c:v>
                </c:pt>
                <c:pt idx="4">
                  <c:v>1.0005033000000001</c:v>
                </c:pt>
                <c:pt idx="5">
                  <c:v>1.0006832999999999</c:v>
                </c:pt>
                <c:pt idx="6">
                  <c:v>1.0007533000000002</c:v>
                </c:pt>
                <c:pt idx="7">
                  <c:v>1.0006699999999999</c:v>
                </c:pt>
                <c:pt idx="8">
                  <c:v>1.00061</c:v>
                </c:pt>
                <c:pt idx="9">
                  <c:v>1.0006133000000001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00-4DE8-9F9C-761CFE89A08D}"/>
            </c:ext>
          </c:extLst>
        </c:ser>
        <c:ser>
          <c:idx val="1"/>
          <c:order val="1"/>
          <c:tx>
            <c:strRef>
              <c:f>'8'!$M$7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00-4DE8-9F9C-761CFE89A08D}"/>
            </c:ext>
          </c:extLst>
        </c:ser>
        <c:ser>
          <c:idx val="2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00-4DE8-9F9C-761CFE89A08D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0-4DE8-9F9C-761CFE89A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'8'!$M$6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9-4D91-953E-E99609FE1687}"/>
            </c:ext>
          </c:extLst>
        </c:ser>
        <c:ser>
          <c:idx val="0"/>
          <c:order val="1"/>
          <c:tx>
            <c:strRef>
              <c:f>'8'!$M$27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'8'!$M$28:$M$42</c:f>
              <c:numCache>
                <c:formatCode>General</c:formatCode>
                <c:ptCount val="15"/>
                <c:pt idx="0">
                  <c:v>-1.157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-6.7000000000000171E-2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2.3730000000000002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'8'!$N$28:$N$42</c:f>
              <c:numCache>
                <c:formatCode>General</c:formatCode>
                <c:ptCount val="15"/>
                <c:pt idx="0">
                  <c:v>1.0005233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1.0006832999999999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1.0009033000000001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69-4D91-953E-E99609FE1687}"/>
            </c:ext>
          </c:extLst>
        </c:ser>
        <c:ser>
          <c:idx val="4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69-4D91-953E-E99609FE1687}"/>
            </c:ext>
          </c:extLst>
        </c:ser>
        <c:ser>
          <c:idx val="3"/>
          <c:order val="3"/>
          <c:tx>
            <c:strRef>
              <c:f>'8'!$O$27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'8'!$O$28:$O$42</c:f>
              <c:numCache>
                <c:formatCode>General</c:formatCode>
                <c:ptCount val="15"/>
                <c:pt idx="0">
                  <c:v>0</c:v>
                </c:pt>
                <c:pt idx="1">
                  <c:v>0.60699999999999998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1.6970000000000001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2.3069999999999999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1.0005833000000002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1.0007533000000002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69-4D91-953E-E99609FE1687}"/>
            </c:ext>
          </c:extLst>
        </c:ser>
        <c:ser>
          <c:idx val="1"/>
          <c:order val="4"/>
          <c:tx>
            <c:strRef>
              <c:f>'8'!$M$12:$M$13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'8'!$Q$12:$U$12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'8'!$Q$13:$U$13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69-4D91-953E-E99609FE1687}"/>
            </c:ext>
          </c:extLst>
        </c:ser>
        <c:ser>
          <c:idx val="5"/>
          <c:order val="5"/>
          <c:tx>
            <c:strRef>
              <c:f>'8'!$Q$27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'8'!$Q$28:$Q$42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1.0569999999999999</c:v>
                </c:pt>
                <c:pt idx="3">
                  <c:v>0.74</c:v>
                </c:pt>
                <c:pt idx="4" formatCode="0.0000">
                  <c:v>0.65299999999999991</c:v>
                </c:pt>
                <c:pt idx="5">
                  <c:v>0</c:v>
                </c:pt>
                <c:pt idx="6">
                  <c:v>0</c:v>
                </c:pt>
                <c:pt idx="7">
                  <c:v>1.3969999999999998</c:v>
                </c:pt>
                <c:pt idx="8">
                  <c:v>0.62999999999999989</c:v>
                </c:pt>
                <c:pt idx="9" formatCode="0.0000">
                  <c:v>0.56299999999999994</c:v>
                </c:pt>
                <c:pt idx="10">
                  <c:v>0</c:v>
                </c:pt>
                <c:pt idx="11">
                  <c:v>0</c:v>
                </c:pt>
                <c:pt idx="12">
                  <c:v>1.6469999999999998</c:v>
                </c:pt>
                <c:pt idx="13">
                  <c:v>1.78</c:v>
                </c:pt>
                <c:pt idx="14" formatCode="0.0000">
                  <c:v>2.4729999999999999</c:v>
                </c:pt>
              </c:numCache>
            </c:numRef>
          </c:xVal>
          <c:yVal>
            <c:numRef>
              <c:f>'8'!$R$28:$R$42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1.00041</c:v>
                </c:pt>
                <c:pt idx="3">
                  <c:v>1.0005299999999999</c:v>
                </c:pt>
                <c:pt idx="4" formatCode="0.0000">
                  <c:v>1.0005033000000001</c:v>
                </c:pt>
                <c:pt idx="5">
                  <c:v>0</c:v>
                </c:pt>
                <c:pt idx="6">
                  <c:v>0</c:v>
                </c:pt>
                <c:pt idx="7">
                  <c:v>1.0006699999999999</c:v>
                </c:pt>
                <c:pt idx="8">
                  <c:v>1.00061</c:v>
                </c:pt>
                <c:pt idx="9" formatCode="0.0000">
                  <c:v>1.0006133000000001</c:v>
                </c:pt>
                <c:pt idx="10">
                  <c:v>0</c:v>
                </c:pt>
                <c:pt idx="11">
                  <c:v>0</c:v>
                </c:pt>
                <c:pt idx="12">
                  <c:v>1.0008699999999999</c:v>
                </c:pt>
                <c:pt idx="13">
                  <c:v>1.0007699999999999</c:v>
                </c:pt>
                <c:pt idx="14" formatCode="0.0000">
                  <c:v>1.0008933000000002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69-4D91-953E-E99609FE1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D-4DE0-A664-66229802068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1ED-4DE0-A664-66229802068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1ED-4DE0-A664-662298020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8-4E73-B150-D744858CD20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D78-4E73-B150-D744858CD20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D78-4E73-B150-D744858CD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'9'!$H$28:$H$37</c:f>
              <c:numCache>
                <c:formatCode>0.0000</c:formatCode>
                <c:ptCount val="10"/>
                <c:pt idx="0">
                  <c:v>-0.97699999999999987</c:v>
                </c:pt>
                <c:pt idx="1">
                  <c:v>0.66700000000000004</c:v>
                </c:pt>
                <c:pt idx="2">
                  <c:v>0.7669999999999999</c:v>
                </c:pt>
                <c:pt idx="3">
                  <c:v>0.62999999999999989</c:v>
                </c:pt>
                <c:pt idx="4">
                  <c:v>0.58299999999999996</c:v>
                </c:pt>
                <c:pt idx="5">
                  <c:v>0.98299999999999987</c:v>
                </c:pt>
                <c:pt idx="6">
                  <c:v>2.1970000000000001</c:v>
                </c:pt>
                <c:pt idx="7">
                  <c:v>1.4769999999999999</c:v>
                </c:pt>
                <c:pt idx="8">
                  <c:v>0.76</c:v>
                </c:pt>
                <c:pt idx="9">
                  <c:v>0.70299999999999996</c:v>
                </c:pt>
              </c:numCache>
            </c:numRef>
          </c:xVal>
          <c:yVal>
            <c:numRef>
              <c:f>'9'!$I$28:$I$37</c:f>
              <c:numCache>
                <c:formatCode>0.0000</c:formatCode>
                <c:ptCount val="10"/>
                <c:pt idx="0">
                  <c:v>1.0005433000000001</c:v>
                </c:pt>
                <c:pt idx="1">
                  <c:v>1.0006133000000001</c:v>
                </c:pt>
                <c:pt idx="2">
                  <c:v>1.0005899999999999</c:v>
                </c:pt>
                <c:pt idx="3">
                  <c:v>1.0004600000000001</c:v>
                </c:pt>
                <c:pt idx="4">
                  <c:v>1.0004633000000001</c:v>
                </c:pt>
                <c:pt idx="5">
                  <c:v>1.0008033000000001</c:v>
                </c:pt>
                <c:pt idx="6">
                  <c:v>1.0008633</c:v>
                </c:pt>
                <c:pt idx="7">
                  <c:v>1.0008999999999999</c:v>
                </c:pt>
                <c:pt idx="8">
                  <c:v>1.0006600000000001</c:v>
                </c:pt>
                <c:pt idx="9">
                  <c:v>1.0006533000000002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5-4C35-9A0B-344D8B463A13}"/>
            </c:ext>
          </c:extLst>
        </c:ser>
        <c:ser>
          <c:idx val="1"/>
          <c:order val="1"/>
          <c:tx>
            <c:strRef>
              <c:f>'9'!$M$7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5-4C35-9A0B-344D8B463A13}"/>
            </c:ext>
          </c:extLst>
        </c:ser>
        <c:ser>
          <c:idx val="2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A5-4C35-9A0B-344D8B463A13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A5-4C35-9A0B-344D8B463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'9'!$M$6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0-4AB8-A965-751201500375}"/>
            </c:ext>
          </c:extLst>
        </c:ser>
        <c:ser>
          <c:idx val="0"/>
          <c:order val="1"/>
          <c:tx>
            <c:strRef>
              <c:f>'9'!$M$27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'9'!$M$28:$M$42</c:f>
              <c:numCache>
                <c:formatCode>General</c:formatCode>
                <c:ptCount val="15"/>
                <c:pt idx="0">
                  <c:v>-0.97699999999999987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0.98299999999999987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'9'!$N$28:$N$42</c:f>
              <c:numCache>
                <c:formatCode>General</c:formatCode>
                <c:ptCount val="15"/>
                <c:pt idx="0">
                  <c:v>1.0005433000000001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1.0008033000000001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1.0008633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0-4AB8-A965-751201500375}"/>
            </c:ext>
          </c:extLst>
        </c:ser>
        <c:ser>
          <c:idx val="4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00-4AB8-A965-751201500375}"/>
            </c:ext>
          </c:extLst>
        </c:ser>
        <c:ser>
          <c:idx val="3"/>
          <c:order val="3"/>
          <c:tx>
            <c:strRef>
              <c:f>'9'!$O$27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'9'!$O$28:$O$42</c:f>
              <c:numCache>
                <c:formatCode>General</c:formatCode>
                <c:ptCount val="15"/>
                <c:pt idx="0">
                  <c:v>0</c:v>
                </c:pt>
                <c:pt idx="1">
                  <c:v>0.66700000000000004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2.1970000000000001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2.2069999999999999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1.0006133000000001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1.0008633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1.0008333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00-4AB8-A965-751201500375}"/>
            </c:ext>
          </c:extLst>
        </c:ser>
        <c:ser>
          <c:idx val="1"/>
          <c:order val="4"/>
          <c:tx>
            <c:strRef>
              <c:f>'9'!$M$12:$M$13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'9'!$Q$12:$U$12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'9'!$Q$13:$U$13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00-4AB8-A965-751201500375}"/>
            </c:ext>
          </c:extLst>
        </c:ser>
        <c:ser>
          <c:idx val="5"/>
          <c:order val="5"/>
          <c:tx>
            <c:strRef>
              <c:f>'9'!$Q$27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'9'!$Q$28:$Q$42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0.7669999999999999</c:v>
                </c:pt>
                <c:pt idx="3">
                  <c:v>0.62999999999999989</c:v>
                </c:pt>
                <c:pt idx="4" formatCode="0.0000">
                  <c:v>0.58299999999999996</c:v>
                </c:pt>
                <c:pt idx="5">
                  <c:v>0</c:v>
                </c:pt>
                <c:pt idx="6">
                  <c:v>0</c:v>
                </c:pt>
                <c:pt idx="7">
                  <c:v>1.4769999999999999</c:v>
                </c:pt>
                <c:pt idx="8">
                  <c:v>0.76</c:v>
                </c:pt>
                <c:pt idx="9" formatCode="0.0000">
                  <c:v>0.70299999999999996</c:v>
                </c:pt>
                <c:pt idx="10">
                  <c:v>0</c:v>
                </c:pt>
                <c:pt idx="11">
                  <c:v>0</c:v>
                </c:pt>
                <c:pt idx="12">
                  <c:v>1.657</c:v>
                </c:pt>
                <c:pt idx="13">
                  <c:v>1.45</c:v>
                </c:pt>
                <c:pt idx="14" formatCode="0.0000">
                  <c:v>2.0129999999999999</c:v>
                </c:pt>
              </c:numCache>
            </c:numRef>
          </c:xVal>
          <c:yVal>
            <c:numRef>
              <c:f>'9'!$R$28:$R$42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1.0005899999999999</c:v>
                </c:pt>
                <c:pt idx="3">
                  <c:v>1.0004600000000001</c:v>
                </c:pt>
                <c:pt idx="4" formatCode="0.0000">
                  <c:v>1.0004633000000001</c:v>
                </c:pt>
                <c:pt idx="5">
                  <c:v>0</c:v>
                </c:pt>
                <c:pt idx="6">
                  <c:v>0</c:v>
                </c:pt>
                <c:pt idx="7">
                  <c:v>1.0008999999999999</c:v>
                </c:pt>
                <c:pt idx="8">
                  <c:v>1.0006600000000001</c:v>
                </c:pt>
                <c:pt idx="9" formatCode="0.0000">
                  <c:v>1.0006533000000002</c:v>
                </c:pt>
                <c:pt idx="10">
                  <c:v>0</c:v>
                </c:pt>
                <c:pt idx="11">
                  <c:v>0</c:v>
                </c:pt>
                <c:pt idx="12">
                  <c:v>1.0008299999999999</c:v>
                </c:pt>
                <c:pt idx="13">
                  <c:v>1.00074</c:v>
                </c:pt>
                <c:pt idx="14" formatCode="0.0000">
                  <c:v>1.0008133000000001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00-4AB8-A965-751201500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D9-45C6-887D-504B8BEF055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7D9-45C6-887D-504B8BEF055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7D9-45C6-887D-504B8BEF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8A-4576-ACC8-EBF23EE62A8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E8A-4576-ACC8-EBF23EE62A8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E8A-4576-ACC8-EBF23EE62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'10'!$H$28:$H$37</c:f>
              <c:numCache>
                <c:formatCode>0.0000</c:formatCode>
                <c:ptCount val="10"/>
                <c:pt idx="0">
                  <c:v>1.853</c:v>
                </c:pt>
                <c:pt idx="1">
                  <c:v>0.747</c:v>
                </c:pt>
                <c:pt idx="2">
                  <c:v>0.85699999999999998</c:v>
                </c:pt>
                <c:pt idx="3">
                  <c:v>0.62999999999999989</c:v>
                </c:pt>
                <c:pt idx="4">
                  <c:v>0.57299999999999995</c:v>
                </c:pt>
                <c:pt idx="5">
                  <c:v>-1.2469999999999999</c:v>
                </c:pt>
                <c:pt idx="6">
                  <c:v>1.0070000000000001</c:v>
                </c:pt>
                <c:pt idx="7">
                  <c:v>0.93699999999999994</c:v>
                </c:pt>
                <c:pt idx="8">
                  <c:v>0.66999999999999993</c:v>
                </c:pt>
                <c:pt idx="9">
                  <c:v>0.59299999999999997</c:v>
                </c:pt>
              </c:numCache>
            </c:numRef>
          </c:xVal>
          <c:yVal>
            <c:numRef>
              <c:f>'10'!$I$28:$I$37</c:f>
              <c:numCache>
                <c:formatCode>0.0000</c:formatCode>
                <c:ptCount val="10"/>
                <c:pt idx="0">
                  <c:v>1.0008233</c:v>
                </c:pt>
                <c:pt idx="1">
                  <c:v>1.0006633</c:v>
                </c:pt>
                <c:pt idx="2">
                  <c:v>1.00065</c:v>
                </c:pt>
                <c:pt idx="3">
                  <c:v>1.0004200000000001</c:v>
                </c:pt>
                <c:pt idx="4">
                  <c:v>1.0004233</c:v>
                </c:pt>
                <c:pt idx="5">
                  <c:v>1.0006733000000001</c:v>
                </c:pt>
                <c:pt idx="6">
                  <c:v>1.0007433000000001</c:v>
                </c:pt>
                <c:pt idx="7">
                  <c:v>1.0007299999999999</c:v>
                </c:pt>
                <c:pt idx="8">
                  <c:v>1.0004900000000001</c:v>
                </c:pt>
                <c:pt idx="9">
                  <c:v>1.0004933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1-4A2D-9943-EE5E5760499E}"/>
            </c:ext>
          </c:extLst>
        </c:ser>
        <c:ser>
          <c:idx val="1"/>
          <c:order val="1"/>
          <c:tx>
            <c:strRef>
              <c:f>'10'!$M$7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01-4A2D-9943-EE5E5760499E}"/>
            </c:ext>
          </c:extLst>
        </c:ser>
        <c:ser>
          <c:idx val="2"/>
          <c:order val="2"/>
          <c:tx>
            <c:strRef>
              <c:f>'10'!$M$9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01-4A2D-9943-EE5E5760499E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01-4A2D-9943-EE5E57604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'10'!$M$6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D-401E-9DFA-DDEE4322ECBC}"/>
            </c:ext>
          </c:extLst>
        </c:ser>
        <c:ser>
          <c:idx val="0"/>
          <c:order val="1"/>
          <c:tx>
            <c:strRef>
              <c:f>'10'!$M$27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'10'!$M$28:$M$42</c:f>
              <c:numCache>
                <c:formatCode>General</c:formatCode>
                <c:ptCount val="15"/>
                <c:pt idx="0">
                  <c:v>1.853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-1.2469999999999999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1.353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'10'!$N$28:$N$42</c:f>
              <c:numCache>
                <c:formatCode>General</c:formatCode>
                <c:ptCount val="15"/>
                <c:pt idx="0">
                  <c:v>1.0008233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1.0006733000000001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1.0007433000000001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D-401E-9DFA-DDEE4322ECBC}"/>
            </c:ext>
          </c:extLst>
        </c:ser>
        <c:ser>
          <c:idx val="4"/>
          <c:order val="2"/>
          <c:tx>
            <c:strRef>
              <c:f>'10'!$M$9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D-401E-9DFA-DDEE4322ECBC}"/>
            </c:ext>
          </c:extLst>
        </c:ser>
        <c:ser>
          <c:idx val="3"/>
          <c:order val="3"/>
          <c:tx>
            <c:strRef>
              <c:f>'10'!$O$27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'10'!$O$28:$O$42</c:f>
              <c:numCache>
                <c:formatCode>General</c:formatCode>
                <c:ptCount val="15"/>
                <c:pt idx="0">
                  <c:v>0</c:v>
                </c:pt>
                <c:pt idx="1">
                  <c:v>0.747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1.0070000000000001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1.4370000000000001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'10'!$P$28:$P$42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1.0007433000000001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1.0007133000000001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D-401E-9DFA-DDEE4322ECBC}"/>
            </c:ext>
          </c:extLst>
        </c:ser>
        <c:ser>
          <c:idx val="1"/>
          <c:order val="4"/>
          <c:tx>
            <c:strRef>
              <c:f>'10'!$M$12:$M$13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'10'!$Q$12:$U$12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'10'!$Q$13:$U$13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BD-401E-9DFA-DDEE4322ECBC}"/>
            </c:ext>
          </c:extLst>
        </c:ser>
        <c:ser>
          <c:idx val="5"/>
          <c:order val="5"/>
          <c:tx>
            <c:strRef>
              <c:f>'10'!$Q$27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'10'!$Q$28:$Q$42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0.85699999999999998</c:v>
                </c:pt>
                <c:pt idx="3">
                  <c:v>0.62999999999999989</c:v>
                </c:pt>
                <c:pt idx="4" formatCode="0.0000">
                  <c:v>0.57299999999999995</c:v>
                </c:pt>
                <c:pt idx="5">
                  <c:v>0</c:v>
                </c:pt>
                <c:pt idx="6">
                  <c:v>0</c:v>
                </c:pt>
                <c:pt idx="7">
                  <c:v>0.93699999999999994</c:v>
                </c:pt>
                <c:pt idx="8">
                  <c:v>0.66999999999999993</c:v>
                </c:pt>
                <c:pt idx="9" formatCode="0.0000">
                  <c:v>0.59299999999999997</c:v>
                </c:pt>
                <c:pt idx="10">
                  <c:v>0</c:v>
                </c:pt>
                <c:pt idx="11">
                  <c:v>0</c:v>
                </c:pt>
                <c:pt idx="12">
                  <c:v>1.2469999999999999</c:v>
                </c:pt>
                <c:pt idx="13">
                  <c:v>1.2999999999999998</c:v>
                </c:pt>
                <c:pt idx="14" formatCode="0.0000">
                  <c:v>2.383</c:v>
                </c:pt>
              </c:numCache>
            </c:numRef>
          </c:xVal>
          <c:yVal>
            <c:numRef>
              <c:f>'10'!$R$28:$R$42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1.00065</c:v>
                </c:pt>
                <c:pt idx="3">
                  <c:v>1.0004200000000001</c:v>
                </c:pt>
                <c:pt idx="4" formatCode="0.0000">
                  <c:v>1.0004233</c:v>
                </c:pt>
                <c:pt idx="5">
                  <c:v>0</c:v>
                </c:pt>
                <c:pt idx="6">
                  <c:v>0</c:v>
                </c:pt>
                <c:pt idx="7">
                  <c:v>1.0007299999999999</c:v>
                </c:pt>
                <c:pt idx="8">
                  <c:v>1.0004900000000001</c:v>
                </c:pt>
                <c:pt idx="9" formatCode="0.0000">
                  <c:v>1.0004933</c:v>
                </c:pt>
                <c:pt idx="10">
                  <c:v>0</c:v>
                </c:pt>
                <c:pt idx="11">
                  <c:v>0</c:v>
                </c:pt>
                <c:pt idx="12">
                  <c:v>1.00068</c:v>
                </c:pt>
                <c:pt idx="13">
                  <c:v>1.0005200000000001</c:v>
                </c:pt>
                <c:pt idx="14" formatCode="0.0000">
                  <c:v>1.0007333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BD-401E-9DFA-DDEE4322E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9-43F9-BCB7-A822788B7559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6A9-43F9-BCB7-A822788B7559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6A9-43F9-BCB7-A822788B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7-4E3F-B7AC-C3E3DF1CAF5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B87-4E3F-B7AC-C3E3DF1CAF5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B87-4E3F-B7AC-C3E3DF1C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'11'!$H$28:$H$37</c:f>
              <c:numCache>
                <c:formatCode>0.0000</c:formatCode>
                <c:ptCount val="10"/>
                <c:pt idx="0">
                  <c:v>-0.92700000000000005</c:v>
                </c:pt>
                <c:pt idx="1">
                  <c:v>1.4470000000000001</c:v>
                </c:pt>
                <c:pt idx="2">
                  <c:v>1.1869999999999998</c:v>
                </c:pt>
                <c:pt idx="3">
                  <c:v>0.64999999999999991</c:v>
                </c:pt>
                <c:pt idx="4">
                  <c:v>0.66299999999999992</c:v>
                </c:pt>
                <c:pt idx="5">
                  <c:v>0.30299999999999994</c:v>
                </c:pt>
                <c:pt idx="6">
                  <c:v>2.2669999999999999</c:v>
                </c:pt>
                <c:pt idx="7">
                  <c:v>1.657</c:v>
                </c:pt>
                <c:pt idx="8">
                  <c:v>0.87999999999999989</c:v>
                </c:pt>
                <c:pt idx="9">
                  <c:v>0.78299999999999992</c:v>
                </c:pt>
              </c:numCache>
            </c:numRef>
          </c:xVal>
          <c:yVal>
            <c:numRef>
              <c:f>'11'!$I$28:$I$37</c:f>
              <c:numCache>
                <c:formatCode>0.0000</c:formatCode>
                <c:ptCount val="10"/>
                <c:pt idx="0">
                  <c:v>1.0006533</c:v>
                </c:pt>
                <c:pt idx="1">
                  <c:v>1.0007633</c:v>
                </c:pt>
                <c:pt idx="2">
                  <c:v>1.00081</c:v>
                </c:pt>
                <c:pt idx="3">
                  <c:v>1.0006200000000001</c:v>
                </c:pt>
                <c:pt idx="4">
                  <c:v>1.0006133000000001</c:v>
                </c:pt>
                <c:pt idx="5">
                  <c:v>1.0007133000000001</c:v>
                </c:pt>
                <c:pt idx="6">
                  <c:v>1.0008133000000001</c:v>
                </c:pt>
                <c:pt idx="7">
                  <c:v>1.00074</c:v>
                </c:pt>
                <c:pt idx="8">
                  <c:v>1.00064</c:v>
                </c:pt>
                <c:pt idx="9">
                  <c:v>1.0006333000000001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C-4F4E-B7B8-D6FAC0658DAB}"/>
            </c:ext>
          </c:extLst>
        </c:ser>
        <c:ser>
          <c:idx val="1"/>
          <c:order val="1"/>
          <c:tx>
            <c:strRef>
              <c:f>'11'!$M$7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C-4F4E-B7B8-D6FAC0658DAB}"/>
            </c:ext>
          </c:extLst>
        </c:ser>
        <c:ser>
          <c:idx val="2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BC-4F4E-B7B8-D6FAC0658DAB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BC-4F4E-B7B8-D6FAC0658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'11'!$M$6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1-43A4-955E-426EC43FDF69}"/>
            </c:ext>
          </c:extLst>
        </c:ser>
        <c:ser>
          <c:idx val="0"/>
          <c:order val="1"/>
          <c:tx>
            <c:strRef>
              <c:f>'11'!$M$27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'11'!$M$28:$M$42</c:f>
              <c:numCache>
                <c:formatCode>General</c:formatCode>
                <c:ptCount val="15"/>
                <c:pt idx="0">
                  <c:v>-0.92700000000000005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0.30299999999999994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1.0429999999999999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'11'!$N$28:$N$42</c:f>
              <c:numCache>
                <c:formatCode>General</c:formatCode>
                <c:ptCount val="15"/>
                <c:pt idx="0">
                  <c:v>1.0006533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1.0007133000000001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1.0006733000000001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1-43A4-955E-426EC43FDF69}"/>
            </c:ext>
          </c:extLst>
        </c:ser>
        <c:ser>
          <c:idx val="4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E1-43A4-955E-426EC43FDF69}"/>
            </c:ext>
          </c:extLst>
        </c:ser>
        <c:ser>
          <c:idx val="3"/>
          <c:order val="3"/>
          <c:tx>
            <c:strRef>
              <c:f>'11'!$O$27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1.4470000000000001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2.2669999999999999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0.77700000000000002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1.0008133000000001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1.0006033000000001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E1-43A4-955E-426EC43FDF69}"/>
            </c:ext>
          </c:extLst>
        </c:ser>
        <c:ser>
          <c:idx val="1"/>
          <c:order val="4"/>
          <c:tx>
            <c:strRef>
              <c:f>'11'!$M$12:$M$13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'11'!$Q$12:$U$12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'11'!$Q$13:$U$13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E1-43A4-955E-426EC43FDF69}"/>
            </c:ext>
          </c:extLst>
        </c:ser>
        <c:ser>
          <c:idx val="5"/>
          <c:order val="5"/>
          <c:tx>
            <c:strRef>
              <c:f>'11'!$Q$27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1.1869999999999998</c:v>
                </c:pt>
                <c:pt idx="3">
                  <c:v>0.64999999999999991</c:v>
                </c:pt>
                <c:pt idx="4" formatCode="0.0000">
                  <c:v>0.66299999999999992</c:v>
                </c:pt>
                <c:pt idx="5">
                  <c:v>0</c:v>
                </c:pt>
                <c:pt idx="6">
                  <c:v>0</c:v>
                </c:pt>
                <c:pt idx="7">
                  <c:v>1.657</c:v>
                </c:pt>
                <c:pt idx="8">
                  <c:v>0.87999999999999989</c:v>
                </c:pt>
                <c:pt idx="9" formatCode="0.0000">
                  <c:v>0.78299999999999992</c:v>
                </c:pt>
                <c:pt idx="10">
                  <c:v>0</c:v>
                </c:pt>
                <c:pt idx="11">
                  <c:v>0</c:v>
                </c:pt>
                <c:pt idx="12">
                  <c:v>1.0069999999999999</c:v>
                </c:pt>
                <c:pt idx="13">
                  <c:v>1</c:v>
                </c:pt>
                <c:pt idx="14" formatCode="0.0000">
                  <c:v>1.4430000000000001</c:v>
                </c:pt>
              </c:numCache>
            </c:numRef>
          </c:xVal>
          <c:yVal>
            <c:numRef>
              <c:f>'11'!$R$28:$R$42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1.00081</c:v>
                </c:pt>
                <c:pt idx="3">
                  <c:v>1.0006200000000001</c:v>
                </c:pt>
                <c:pt idx="4" formatCode="0.0000">
                  <c:v>1.0006133000000001</c:v>
                </c:pt>
                <c:pt idx="5">
                  <c:v>0</c:v>
                </c:pt>
                <c:pt idx="6">
                  <c:v>0</c:v>
                </c:pt>
                <c:pt idx="7">
                  <c:v>1.00074</c:v>
                </c:pt>
                <c:pt idx="8">
                  <c:v>1.00064</c:v>
                </c:pt>
                <c:pt idx="9" formatCode="0.0000">
                  <c:v>1.0006333000000001</c:v>
                </c:pt>
                <c:pt idx="10">
                  <c:v>0</c:v>
                </c:pt>
                <c:pt idx="11">
                  <c:v>0</c:v>
                </c:pt>
                <c:pt idx="12">
                  <c:v>1.0006199999999998</c:v>
                </c:pt>
                <c:pt idx="13">
                  <c:v>1.0005600000000001</c:v>
                </c:pt>
                <c:pt idx="14" formatCode="0.0000">
                  <c:v>1.0006033000000001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E1-43A4-955E-426EC43F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1-4C83-815E-8A383183636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FF1-4C83-815E-8A383183636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FF1-4C83-815E-8A3831836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5-4FB5-83F1-BDCC3404577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9B5-4FB5-83F1-BDCC3404577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9B5-4FB5-83F1-BDCC34045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'12'!$H$28:$H$37</c:f>
              <c:numCache>
                <c:formatCode>0.0000</c:formatCode>
                <c:ptCount val="10"/>
                <c:pt idx="0">
                  <c:v>-0.65700000000000003</c:v>
                </c:pt>
                <c:pt idx="1">
                  <c:v>2.1070000000000002</c:v>
                </c:pt>
                <c:pt idx="2">
                  <c:v>1.5269999999999999</c:v>
                </c:pt>
                <c:pt idx="3">
                  <c:v>0.77</c:v>
                </c:pt>
                <c:pt idx="4">
                  <c:v>0.80299999999999994</c:v>
                </c:pt>
                <c:pt idx="5">
                  <c:v>1.143</c:v>
                </c:pt>
                <c:pt idx="6">
                  <c:v>0.747</c:v>
                </c:pt>
                <c:pt idx="7">
                  <c:v>0.72699999999999998</c:v>
                </c:pt>
                <c:pt idx="8">
                  <c:v>0.69</c:v>
                </c:pt>
                <c:pt idx="9">
                  <c:v>0.65299999999999991</c:v>
                </c:pt>
              </c:numCache>
            </c:numRef>
          </c:xVal>
          <c:yVal>
            <c:numRef>
              <c:f>'12'!$I$28:$I$37</c:f>
              <c:numCache>
                <c:formatCode>0.0000</c:formatCode>
                <c:ptCount val="10"/>
                <c:pt idx="0">
                  <c:v>1.0006533</c:v>
                </c:pt>
                <c:pt idx="1">
                  <c:v>1.0008433000000001</c:v>
                </c:pt>
                <c:pt idx="2">
                  <c:v>1.0008299999999999</c:v>
                </c:pt>
                <c:pt idx="3">
                  <c:v>1.0005999999999999</c:v>
                </c:pt>
                <c:pt idx="4">
                  <c:v>1.0006133000000001</c:v>
                </c:pt>
                <c:pt idx="5">
                  <c:v>1.0007433000000001</c:v>
                </c:pt>
                <c:pt idx="6">
                  <c:v>1.0006433000000001</c:v>
                </c:pt>
                <c:pt idx="7">
                  <c:v>1.0006199999999998</c:v>
                </c:pt>
                <c:pt idx="8">
                  <c:v>1.0004600000000001</c:v>
                </c:pt>
                <c:pt idx="9">
                  <c:v>1.0004733000000001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4-4F80-9636-264743104D83}"/>
            </c:ext>
          </c:extLst>
        </c:ser>
        <c:ser>
          <c:idx val="1"/>
          <c:order val="1"/>
          <c:tx>
            <c:strRef>
              <c:f>'12'!$M$7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4-4F80-9636-264743104D83}"/>
            </c:ext>
          </c:extLst>
        </c:ser>
        <c:ser>
          <c:idx val="2"/>
          <c:order val="2"/>
          <c:tx>
            <c:strRef>
              <c:f>'12'!$M$9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E4-4F80-9636-264743104D83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E4-4F80-9636-264743104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'12'!$M$6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4-4A2E-92E8-99648AB390A6}"/>
            </c:ext>
          </c:extLst>
        </c:ser>
        <c:ser>
          <c:idx val="0"/>
          <c:order val="1"/>
          <c:tx>
            <c:strRef>
              <c:f>'12'!$M$27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'12'!$M$28:$M$42</c:f>
              <c:numCache>
                <c:formatCode>General</c:formatCode>
                <c:ptCount val="15"/>
                <c:pt idx="0">
                  <c:v>-0.65700000000000003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'12'!$N$28:$N$42</c:f>
              <c:numCache>
                <c:formatCode>General</c:formatCode>
                <c:ptCount val="15"/>
                <c:pt idx="0">
                  <c:v>1.0006533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1.0007433000000001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1.0008532999999999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B4-4A2E-92E8-99648AB390A6}"/>
            </c:ext>
          </c:extLst>
        </c:ser>
        <c:ser>
          <c:idx val="4"/>
          <c:order val="2"/>
          <c:tx>
            <c:strRef>
              <c:f>'12'!$M$9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B4-4A2E-92E8-99648AB390A6}"/>
            </c:ext>
          </c:extLst>
        </c:ser>
        <c:ser>
          <c:idx val="3"/>
          <c:order val="3"/>
          <c:tx>
            <c:strRef>
              <c:f>'12'!$O$27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'12'!$O$28:$O$42</c:f>
              <c:numCache>
                <c:formatCode>General</c:formatCode>
                <c:ptCount val="15"/>
                <c:pt idx="0">
                  <c:v>0</c:v>
                </c:pt>
                <c:pt idx="1">
                  <c:v>2.1070000000000002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0.747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'12'!$P$28:$P$42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1.0008433000000001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1.0008233000000002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B4-4A2E-92E8-99648AB390A6}"/>
            </c:ext>
          </c:extLst>
        </c:ser>
        <c:ser>
          <c:idx val="1"/>
          <c:order val="4"/>
          <c:tx>
            <c:strRef>
              <c:f>'12'!$M$12:$M$13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'12'!$Q$12:$U$12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'12'!$Q$13:$U$13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B4-4A2E-92E8-99648AB390A6}"/>
            </c:ext>
          </c:extLst>
        </c:ser>
        <c:ser>
          <c:idx val="5"/>
          <c:order val="5"/>
          <c:tx>
            <c:strRef>
              <c:f>'12'!$Q$27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'12'!$Q$28:$Q$42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1.5269999999999999</c:v>
                </c:pt>
                <c:pt idx="3">
                  <c:v>0.77</c:v>
                </c:pt>
                <c:pt idx="4" formatCode="0.0000">
                  <c:v>0.80299999999999994</c:v>
                </c:pt>
                <c:pt idx="5">
                  <c:v>0</c:v>
                </c:pt>
                <c:pt idx="6">
                  <c:v>0</c:v>
                </c:pt>
                <c:pt idx="7">
                  <c:v>0.72699999999999998</c:v>
                </c:pt>
                <c:pt idx="8">
                  <c:v>0.69</c:v>
                </c:pt>
                <c:pt idx="9" formatCode="0.0000">
                  <c:v>0.65299999999999991</c:v>
                </c:pt>
                <c:pt idx="10">
                  <c:v>0</c:v>
                </c:pt>
                <c:pt idx="11">
                  <c:v>0</c:v>
                </c:pt>
                <c:pt idx="12">
                  <c:v>1.7869999999999999</c:v>
                </c:pt>
                <c:pt idx="13">
                  <c:v>1.67</c:v>
                </c:pt>
                <c:pt idx="14" formatCode="0.0000">
                  <c:v>2.3329999999999997</c:v>
                </c:pt>
              </c:numCache>
            </c:numRef>
          </c:xVal>
          <c:yVal>
            <c:numRef>
              <c:f>'12'!$R$28:$R$42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1.0008299999999999</c:v>
                </c:pt>
                <c:pt idx="3">
                  <c:v>1.0005999999999999</c:v>
                </c:pt>
                <c:pt idx="4" formatCode="0.0000">
                  <c:v>1.0006133000000001</c:v>
                </c:pt>
                <c:pt idx="5">
                  <c:v>0</c:v>
                </c:pt>
                <c:pt idx="6">
                  <c:v>0</c:v>
                </c:pt>
                <c:pt idx="7">
                  <c:v>1.0006199999999998</c:v>
                </c:pt>
                <c:pt idx="8">
                  <c:v>1.0004600000000001</c:v>
                </c:pt>
                <c:pt idx="9" formatCode="0.0000">
                  <c:v>1.0004733000000001</c:v>
                </c:pt>
                <c:pt idx="10">
                  <c:v>0</c:v>
                </c:pt>
                <c:pt idx="11">
                  <c:v>0</c:v>
                </c:pt>
                <c:pt idx="12">
                  <c:v>1.00084</c:v>
                </c:pt>
                <c:pt idx="13">
                  <c:v>1.00074</c:v>
                </c:pt>
                <c:pt idx="14" formatCode="0.0000">
                  <c:v>1.0008633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B4-4A2E-92E8-99648AB39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4F-4E0E-984E-7F76F51F7DB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C4F-4E0E-984E-7F76F51F7DB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C4F-4E0E-984E-7F76F51F7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9A-4474-A895-03EF7AB7F4F9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C9A-4474-A895-03EF7AB7F4F9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C9A-4474-A895-03EF7AB7F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'13'!$H$28:$H$37</c:f>
              <c:numCache>
                <c:formatCode>0.0000</c:formatCode>
                <c:ptCount val="10"/>
                <c:pt idx="0">
                  <c:v>0.41299999999999981</c:v>
                </c:pt>
                <c:pt idx="1">
                  <c:v>1.8069999999999999</c:v>
                </c:pt>
                <c:pt idx="2">
                  <c:v>1.147</c:v>
                </c:pt>
                <c:pt idx="3">
                  <c:v>0.61</c:v>
                </c:pt>
                <c:pt idx="4">
                  <c:v>0.82299999999999995</c:v>
                </c:pt>
                <c:pt idx="5">
                  <c:v>-0.35700000000000021</c:v>
                </c:pt>
                <c:pt idx="6">
                  <c:v>1.2470000000000001</c:v>
                </c:pt>
                <c:pt idx="7">
                  <c:v>1.087</c:v>
                </c:pt>
                <c:pt idx="8">
                  <c:v>0.62999999999999989</c:v>
                </c:pt>
                <c:pt idx="9">
                  <c:v>0.56299999999999994</c:v>
                </c:pt>
              </c:numCache>
            </c:numRef>
          </c:xVal>
          <c:yVal>
            <c:numRef>
              <c:f>'13'!$I$28:$I$37</c:f>
              <c:numCache>
                <c:formatCode>0.0000</c:formatCode>
                <c:ptCount val="10"/>
                <c:pt idx="0">
                  <c:v>1.0007832999999999</c:v>
                </c:pt>
                <c:pt idx="1">
                  <c:v>1.0008533000000002</c:v>
                </c:pt>
                <c:pt idx="2">
                  <c:v>1.0006199999999998</c:v>
                </c:pt>
                <c:pt idx="3">
                  <c:v>1.0006300000000001</c:v>
                </c:pt>
                <c:pt idx="4">
                  <c:v>1.0006133000000001</c:v>
                </c:pt>
                <c:pt idx="5">
                  <c:v>1.0006333000000001</c:v>
                </c:pt>
                <c:pt idx="6">
                  <c:v>1.0006933</c:v>
                </c:pt>
                <c:pt idx="7">
                  <c:v>1.00031</c:v>
                </c:pt>
                <c:pt idx="8">
                  <c:v>1.0005200000000001</c:v>
                </c:pt>
                <c:pt idx="9">
                  <c:v>1.0005133000000002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DF-49D8-B743-97EF177FBE77}"/>
            </c:ext>
          </c:extLst>
        </c:ser>
        <c:ser>
          <c:idx val="1"/>
          <c:order val="1"/>
          <c:tx>
            <c:strRef>
              <c:f>'13'!$M$7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DF-49D8-B743-97EF177FBE77}"/>
            </c:ext>
          </c:extLst>
        </c:ser>
        <c:ser>
          <c:idx val="2"/>
          <c:order val="2"/>
          <c:tx>
            <c:strRef>
              <c:f>'13'!$M$9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DF-49D8-B743-97EF177FBE77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DF-49D8-B743-97EF177F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'13'!$M$6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F-4610-90FA-857DB30C0AB0}"/>
            </c:ext>
          </c:extLst>
        </c:ser>
        <c:ser>
          <c:idx val="0"/>
          <c:order val="1"/>
          <c:tx>
            <c:strRef>
              <c:f>'13'!$M$27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'13'!$M$28:$M$42</c:f>
              <c:numCache>
                <c:formatCode>General</c:formatCode>
                <c:ptCount val="15"/>
                <c:pt idx="0">
                  <c:v>0.41299999999999981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-0.35700000000000021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2.0629999999999997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'13'!$N$28:$N$42</c:f>
              <c:numCache>
                <c:formatCode>General</c:formatCode>
                <c:ptCount val="15"/>
                <c:pt idx="0">
                  <c:v>1.0007832999999999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1.0006333000000001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1.0008233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F-4610-90FA-857DB30C0AB0}"/>
            </c:ext>
          </c:extLst>
        </c:ser>
        <c:ser>
          <c:idx val="4"/>
          <c:order val="2"/>
          <c:tx>
            <c:strRef>
              <c:f>'13'!$M$9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2F-4610-90FA-857DB30C0AB0}"/>
            </c:ext>
          </c:extLst>
        </c:ser>
        <c:ser>
          <c:idx val="3"/>
          <c:order val="3"/>
          <c:tx>
            <c:strRef>
              <c:f>'13'!$O$27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'13'!$O$28:$O$42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1.8069999999999999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1.2470000000000001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2.0270000000000001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'13'!$P$28:$P$42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1.0008533000000002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1.0006933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1.0008033000000001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2F-4610-90FA-857DB30C0AB0}"/>
            </c:ext>
          </c:extLst>
        </c:ser>
        <c:ser>
          <c:idx val="1"/>
          <c:order val="4"/>
          <c:tx>
            <c:strRef>
              <c:f>'13'!$M$12:$M$13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'13'!$Q$12:$U$12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'13'!$Q$13:$U$13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2F-4610-90FA-857DB30C0AB0}"/>
            </c:ext>
          </c:extLst>
        </c:ser>
        <c:ser>
          <c:idx val="5"/>
          <c:order val="5"/>
          <c:tx>
            <c:strRef>
              <c:f>'13'!$Q$27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'13'!$Q$28:$Q$42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1.147</c:v>
                </c:pt>
                <c:pt idx="3">
                  <c:v>0.61</c:v>
                </c:pt>
                <c:pt idx="4" formatCode="0.0000">
                  <c:v>0.82299999999999995</c:v>
                </c:pt>
                <c:pt idx="5">
                  <c:v>0</c:v>
                </c:pt>
                <c:pt idx="6">
                  <c:v>0</c:v>
                </c:pt>
                <c:pt idx="7">
                  <c:v>1.087</c:v>
                </c:pt>
                <c:pt idx="8">
                  <c:v>0.62999999999999989</c:v>
                </c:pt>
                <c:pt idx="9" formatCode="0.0000">
                  <c:v>0.56299999999999994</c:v>
                </c:pt>
                <c:pt idx="10">
                  <c:v>0</c:v>
                </c:pt>
                <c:pt idx="11">
                  <c:v>0</c:v>
                </c:pt>
                <c:pt idx="12">
                  <c:v>1.7469999999999999</c:v>
                </c:pt>
                <c:pt idx="13">
                  <c:v>1.23</c:v>
                </c:pt>
                <c:pt idx="14" formatCode="0.0000">
                  <c:v>1.2629999999999999</c:v>
                </c:pt>
              </c:numCache>
            </c:numRef>
          </c:xVal>
          <c:yVal>
            <c:numRef>
              <c:f>'13'!$R$28:$R$42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1.0006199999999998</c:v>
                </c:pt>
                <c:pt idx="3">
                  <c:v>1.0006300000000001</c:v>
                </c:pt>
                <c:pt idx="4" formatCode="0.0000">
                  <c:v>1.0006133000000001</c:v>
                </c:pt>
                <c:pt idx="5">
                  <c:v>0</c:v>
                </c:pt>
                <c:pt idx="6">
                  <c:v>0</c:v>
                </c:pt>
                <c:pt idx="7">
                  <c:v>1.00031</c:v>
                </c:pt>
                <c:pt idx="8">
                  <c:v>1.0005200000000001</c:v>
                </c:pt>
                <c:pt idx="9" formatCode="0.0000">
                  <c:v>1.0005133000000002</c:v>
                </c:pt>
                <c:pt idx="10">
                  <c:v>0</c:v>
                </c:pt>
                <c:pt idx="11">
                  <c:v>0</c:v>
                </c:pt>
                <c:pt idx="12">
                  <c:v>1.0007999999999999</c:v>
                </c:pt>
                <c:pt idx="13">
                  <c:v>1.0006300000000001</c:v>
                </c:pt>
                <c:pt idx="14" formatCode="0.0000">
                  <c:v>1.0006333000000001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2F-4610-90FA-857DB30C0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8-4BF1-9543-095B2BBA093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48-4BF1-9543-095B2BBA093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248-4BF1-9543-095B2BBA0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0-4D20-BBDF-E0AB08DD079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B70-4D20-BBDF-E0AB08DD079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B70-4D20-BBDF-E0AB08DD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'14'!$H$28:$H$37</c:f>
              <c:numCache>
                <c:formatCode>0.0000</c:formatCode>
                <c:ptCount val="10"/>
                <c:pt idx="0">
                  <c:v>-0.27700000000000014</c:v>
                </c:pt>
                <c:pt idx="1">
                  <c:v>1.4470000000000001</c:v>
                </c:pt>
                <c:pt idx="2">
                  <c:v>1.137</c:v>
                </c:pt>
                <c:pt idx="3">
                  <c:v>0.75</c:v>
                </c:pt>
                <c:pt idx="4">
                  <c:v>0.74299999999999999</c:v>
                </c:pt>
                <c:pt idx="5">
                  <c:v>-0.34699999999999998</c:v>
                </c:pt>
                <c:pt idx="6">
                  <c:v>1.097</c:v>
                </c:pt>
                <c:pt idx="7">
                  <c:v>1.077</c:v>
                </c:pt>
                <c:pt idx="8">
                  <c:v>0.62</c:v>
                </c:pt>
                <c:pt idx="9">
                  <c:v>0.55299999999999994</c:v>
                </c:pt>
              </c:numCache>
            </c:numRef>
          </c:xVal>
          <c:yVal>
            <c:numRef>
              <c:f>'14'!$I$28:$I$37</c:f>
              <c:numCache>
                <c:formatCode>0.0000</c:formatCode>
                <c:ptCount val="10"/>
                <c:pt idx="0">
                  <c:v>1.0007533</c:v>
                </c:pt>
                <c:pt idx="1">
                  <c:v>1.0007933</c:v>
                </c:pt>
                <c:pt idx="2">
                  <c:v>1.0004299999999999</c:v>
                </c:pt>
                <c:pt idx="3">
                  <c:v>1.00057</c:v>
                </c:pt>
                <c:pt idx="4">
                  <c:v>1.0005733000000001</c:v>
                </c:pt>
                <c:pt idx="5">
                  <c:v>1.0006533</c:v>
                </c:pt>
                <c:pt idx="6">
                  <c:v>1.0007233000000002</c:v>
                </c:pt>
                <c:pt idx="7">
                  <c:v>1.0007299999999999</c:v>
                </c:pt>
                <c:pt idx="8">
                  <c:v>1.0006200000000001</c:v>
                </c:pt>
                <c:pt idx="9">
                  <c:v>1.0006233000000002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B0-4739-A6D9-06FEA37B092F}"/>
            </c:ext>
          </c:extLst>
        </c:ser>
        <c:ser>
          <c:idx val="1"/>
          <c:order val="1"/>
          <c:tx>
            <c:strRef>
              <c:f>'14'!$M$7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B0-4739-A6D9-06FEA37B092F}"/>
            </c:ext>
          </c:extLst>
        </c:ser>
        <c:ser>
          <c:idx val="2"/>
          <c:order val="2"/>
          <c:tx>
            <c:strRef>
              <c:f>'14'!$M$9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B0-4739-A6D9-06FEA37B092F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B0-4739-A6D9-06FEA37B0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'14'!$M$6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3-4B4C-8A55-03B9DB4D0D4F}"/>
            </c:ext>
          </c:extLst>
        </c:ser>
        <c:ser>
          <c:idx val="0"/>
          <c:order val="1"/>
          <c:tx>
            <c:strRef>
              <c:f>'14'!$M$27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'14'!$M$28:$M$42</c:f>
              <c:numCache>
                <c:formatCode>General</c:formatCode>
                <c:ptCount val="15"/>
                <c:pt idx="0">
                  <c:v>-0.27700000000000014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-0.34699999999999998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2.4430000000000001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'14'!$N$28:$N$42</c:f>
              <c:numCache>
                <c:formatCode>General</c:formatCode>
                <c:ptCount val="15"/>
                <c:pt idx="0">
                  <c:v>1.0007533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1.0006533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1.0008733000000001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E3-4B4C-8A55-03B9DB4D0D4F}"/>
            </c:ext>
          </c:extLst>
        </c:ser>
        <c:ser>
          <c:idx val="4"/>
          <c:order val="2"/>
          <c:tx>
            <c:strRef>
              <c:f>'14'!$M$9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E3-4B4C-8A55-03B9DB4D0D4F}"/>
            </c:ext>
          </c:extLst>
        </c:ser>
        <c:ser>
          <c:idx val="3"/>
          <c:order val="3"/>
          <c:tx>
            <c:strRef>
              <c:f>'14'!$O$27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'14'!$O$28:$O$42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1.4470000000000001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2.1870000000000003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'14'!$P$28:$P$42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1.0007933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1.0007233000000002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1.0008133000000001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E3-4B4C-8A55-03B9DB4D0D4F}"/>
            </c:ext>
          </c:extLst>
        </c:ser>
        <c:ser>
          <c:idx val="1"/>
          <c:order val="4"/>
          <c:tx>
            <c:strRef>
              <c:f>'14'!$M$12:$M$13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'14'!$Q$12:$U$12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'14'!$Q$13:$U$13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E3-4B4C-8A55-03B9DB4D0D4F}"/>
            </c:ext>
          </c:extLst>
        </c:ser>
        <c:ser>
          <c:idx val="5"/>
          <c:order val="5"/>
          <c:tx>
            <c:strRef>
              <c:f>'14'!$Q$27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'14'!$Q$28:$Q$42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1.137</c:v>
                </c:pt>
                <c:pt idx="3">
                  <c:v>0.75</c:v>
                </c:pt>
                <c:pt idx="4" formatCode="0.0000">
                  <c:v>0.74299999999999999</c:v>
                </c:pt>
                <c:pt idx="5">
                  <c:v>0</c:v>
                </c:pt>
                <c:pt idx="6">
                  <c:v>0</c:v>
                </c:pt>
                <c:pt idx="7">
                  <c:v>1.077</c:v>
                </c:pt>
                <c:pt idx="8">
                  <c:v>0.62</c:v>
                </c:pt>
                <c:pt idx="9" formatCode="0.0000">
                  <c:v>0.55299999999999994</c:v>
                </c:pt>
                <c:pt idx="10">
                  <c:v>0</c:v>
                </c:pt>
                <c:pt idx="11">
                  <c:v>0</c:v>
                </c:pt>
                <c:pt idx="12">
                  <c:v>1.7370000000000001</c:v>
                </c:pt>
                <c:pt idx="13">
                  <c:v>1.27</c:v>
                </c:pt>
                <c:pt idx="14" formatCode="0.0000">
                  <c:v>1.5529999999999999</c:v>
                </c:pt>
              </c:numCache>
            </c:numRef>
          </c:xVal>
          <c:yVal>
            <c:numRef>
              <c:f>'14'!$R$28:$R$42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1.0004299999999999</c:v>
                </c:pt>
                <c:pt idx="3">
                  <c:v>1.00057</c:v>
                </c:pt>
                <c:pt idx="4" formatCode="0.0000">
                  <c:v>1.0005733000000001</c:v>
                </c:pt>
                <c:pt idx="5">
                  <c:v>0</c:v>
                </c:pt>
                <c:pt idx="6">
                  <c:v>0</c:v>
                </c:pt>
                <c:pt idx="7">
                  <c:v>1.0007299999999999</c:v>
                </c:pt>
                <c:pt idx="8">
                  <c:v>1.0006200000000001</c:v>
                </c:pt>
                <c:pt idx="9" formatCode="0.0000">
                  <c:v>1.0006233000000002</c:v>
                </c:pt>
                <c:pt idx="10">
                  <c:v>0</c:v>
                </c:pt>
                <c:pt idx="11">
                  <c:v>0</c:v>
                </c:pt>
                <c:pt idx="12">
                  <c:v>1.0007999999999999</c:v>
                </c:pt>
                <c:pt idx="13">
                  <c:v>1.0006699999999999</c:v>
                </c:pt>
                <c:pt idx="14" formatCode="0.0000">
                  <c:v>1.0006933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E3-4B4C-8A55-03B9DB4D0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A-4479-B001-0D6B3D32C0A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9A-4479-B001-0D6B3D32C0A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19A-4479-B001-0D6B3D32C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7-4EC0-B011-5C93ADCF834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F97-4EC0-B011-5C93ADCF834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F97-4EC0-B011-5C93ADCF8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'15'!$H$28:$H$37</c:f>
              <c:numCache>
                <c:formatCode>0.0000</c:formatCode>
                <c:ptCount val="10"/>
                <c:pt idx="0">
                  <c:v>-6.7000000000000171E-2</c:v>
                </c:pt>
                <c:pt idx="1">
                  <c:v>1.9870000000000001</c:v>
                </c:pt>
                <c:pt idx="2">
                  <c:v>1.7969999999999999</c:v>
                </c:pt>
                <c:pt idx="3">
                  <c:v>1.29</c:v>
                </c:pt>
                <c:pt idx="4">
                  <c:v>1.5429999999999999</c:v>
                </c:pt>
                <c:pt idx="5">
                  <c:v>-1.4569999999999999</c:v>
                </c:pt>
                <c:pt idx="6">
                  <c:v>1.7869999999999999</c:v>
                </c:pt>
                <c:pt idx="7">
                  <c:v>1.577</c:v>
                </c:pt>
                <c:pt idx="8">
                  <c:v>0.97</c:v>
                </c:pt>
                <c:pt idx="9">
                  <c:v>0.91299999999999992</c:v>
                </c:pt>
              </c:numCache>
            </c:numRef>
          </c:xVal>
          <c:yVal>
            <c:numRef>
              <c:f>'15'!$I$28:$I$37</c:f>
              <c:numCache>
                <c:formatCode>0.0000</c:formatCode>
                <c:ptCount val="10"/>
                <c:pt idx="0">
                  <c:v>1.0006233</c:v>
                </c:pt>
                <c:pt idx="1">
                  <c:v>1.0007833000000002</c:v>
                </c:pt>
                <c:pt idx="2">
                  <c:v>1.0005599999999999</c:v>
                </c:pt>
                <c:pt idx="3">
                  <c:v>1.0006600000000001</c:v>
                </c:pt>
                <c:pt idx="4">
                  <c:v>1.0006733000000001</c:v>
                </c:pt>
                <c:pt idx="5">
                  <c:v>1.0004533</c:v>
                </c:pt>
                <c:pt idx="6">
                  <c:v>1.0007333</c:v>
                </c:pt>
                <c:pt idx="7">
                  <c:v>1.0007699999999999</c:v>
                </c:pt>
                <c:pt idx="8">
                  <c:v>1.0006600000000001</c:v>
                </c:pt>
                <c:pt idx="9">
                  <c:v>1.0006433000000001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1-4F52-B0EC-AC3B574738A7}"/>
            </c:ext>
          </c:extLst>
        </c:ser>
        <c:ser>
          <c:idx val="1"/>
          <c:order val="1"/>
          <c:tx>
            <c:strRef>
              <c:f>'15'!$M$7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01-4F52-B0EC-AC3B574738A7}"/>
            </c:ext>
          </c:extLst>
        </c:ser>
        <c:ser>
          <c:idx val="2"/>
          <c:order val="2"/>
          <c:tx>
            <c:strRef>
              <c:f>'15'!$M$9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01-4F52-B0EC-AC3B574738A7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01-4F52-B0EC-AC3B57473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'15'!$M$6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5-4BB5-A9DD-AC9A49441832}"/>
            </c:ext>
          </c:extLst>
        </c:ser>
        <c:ser>
          <c:idx val="0"/>
          <c:order val="1"/>
          <c:tx>
            <c:strRef>
              <c:f>'15'!$M$27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'15'!$M$28:$M$42</c:f>
              <c:numCache>
                <c:formatCode>General</c:formatCode>
                <c:ptCount val="15"/>
                <c:pt idx="0">
                  <c:v>-6.7000000000000171E-2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-1.4569999999999999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2.8929999999999998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'15'!$N$28:$N$42</c:f>
              <c:numCache>
                <c:formatCode>General</c:formatCode>
                <c:ptCount val="15"/>
                <c:pt idx="0">
                  <c:v>1.0006233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1.0004533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1.0008433000000001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5-4BB5-A9DD-AC9A49441832}"/>
            </c:ext>
          </c:extLst>
        </c:ser>
        <c:ser>
          <c:idx val="4"/>
          <c:order val="2"/>
          <c:tx>
            <c:strRef>
              <c:f>'15'!$M$9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35-4BB5-A9DD-AC9A49441832}"/>
            </c:ext>
          </c:extLst>
        </c:ser>
        <c:ser>
          <c:idx val="3"/>
          <c:order val="3"/>
          <c:tx>
            <c:strRef>
              <c:f>'15'!$O$27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'15'!$O$28:$O$42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1.9870000000000001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1.7869999999999999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2.867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'15'!$P$28:$P$42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1.0007833000000002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1.0007833000000002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35-4BB5-A9DD-AC9A49441832}"/>
            </c:ext>
          </c:extLst>
        </c:ser>
        <c:ser>
          <c:idx val="1"/>
          <c:order val="4"/>
          <c:tx>
            <c:strRef>
              <c:f>'15'!$M$12:$M$13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'15'!$Q$12:$U$12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'15'!$Q$13:$U$13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35-4BB5-A9DD-AC9A49441832}"/>
            </c:ext>
          </c:extLst>
        </c:ser>
        <c:ser>
          <c:idx val="5"/>
          <c:order val="5"/>
          <c:tx>
            <c:strRef>
              <c:f>'15'!$Q$27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'15'!$Q$28:$Q$42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1.7969999999999999</c:v>
                </c:pt>
                <c:pt idx="3">
                  <c:v>1.29</c:v>
                </c:pt>
                <c:pt idx="4" formatCode="0.0000">
                  <c:v>1.5429999999999999</c:v>
                </c:pt>
                <c:pt idx="5">
                  <c:v>0</c:v>
                </c:pt>
                <c:pt idx="6">
                  <c:v>0</c:v>
                </c:pt>
                <c:pt idx="7">
                  <c:v>1.577</c:v>
                </c:pt>
                <c:pt idx="8">
                  <c:v>0.97</c:v>
                </c:pt>
                <c:pt idx="9" formatCode="0.0000">
                  <c:v>0.91299999999999992</c:v>
                </c:pt>
                <c:pt idx="10">
                  <c:v>0</c:v>
                </c:pt>
                <c:pt idx="11">
                  <c:v>0</c:v>
                </c:pt>
                <c:pt idx="12">
                  <c:v>1.867</c:v>
                </c:pt>
                <c:pt idx="13">
                  <c:v>1.31</c:v>
                </c:pt>
                <c:pt idx="14" formatCode="0.0000">
                  <c:v>2.2330000000000001</c:v>
                </c:pt>
              </c:numCache>
            </c:numRef>
          </c:xVal>
          <c:yVal>
            <c:numRef>
              <c:f>'15'!$R$28:$R$42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1.0005599999999999</c:v>
                </c:pt>
                <c:pt idx="3">
                  <c:v>1.0006600000000001</c:v>
                </c:pt>
                <c:pt idx="4" formatCode="0.0000">
                  <c:v>1.0006733000000001</c:v>
                </c:pt>
                <c:pt idx="5">
                  <c:v>0</c:v>
                </c:pt>
                <c:pt idx="6">
                  <c:v>0</c:v>
                </c:pt>
                <c:pt idx="7">
                  <c:v>1.0007699999999999</c:v>
                </c:pt>
                <c:pt idx="8">
                  <c:v>1.0006600000000001</c:v>
                </c:pt>
                <c:pt idx="9" formatCode="0.0000">
                  <c:v>1.0006433000000001</c:v>
                </c:pt>
                <c:pt idx="10">
                  <c:v>0</c:v>
                </c:pt>
                <c:pt idx="11">
                  <c:v>0</c:v>
                </c:pt>
                <c:pt idx="12">
                  <c:v>1.0007899999999998</c:v>
                </c:pt>
                <c:pt idx="13">
                  <c:v>1.0006900000000001</c:v>
                </c:pt>
                <c:pt idx="14" formatCode="0.0000">
                  <c:v>1.0007533000000002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35-4BB5-A9DD-AC9A4944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3-4711-915E-E394DE3137E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823-4711-915E-E394DE3137E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823-4711-915E-E394DE31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A-4B42-9DF2-08826AA7F2C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48A-4B42-9DF2-08826AA7F2C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48A-4B42-9DF2-08826AA7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'16'!$H$28:$H$37</c:f>
              <c:numCache>
                <c:formatCode>0.0000</c:formatCode>
                <c:ptCount val="10"/>
                <c:pt idx="0">
                  <c:v>-1.5069999999999997</c:v>
                </c:pt>
                <c:pt idx="1">
                  <c:v>1.607</c:v>
                </c:pt>
                <c:pt idx="2">
                  <c:v>1.1869999999999998</c:v>
                </c:pt>
                <c:pt idx="3">
                  <c:v>0.74</c:v>
                </c:pt>
                <c:pt idx="4">
                  <c:v>0.75299999999999989</c:v>
                </c:pt>
                <c:pt idx="5">
                  <c:v>-1.5469999999999997</c:v>
                </c:pt>
                <c:pt idx="6">
                  <c:v>0.77700000000000002</c:v>
                </c:pt>
                <c:pt idx="7">
                  <c:v>0.91699999999999993</c:v>
                </c:pt>
                <c:pt idx="8">
                  <c:v>0.75</c:v>
                </c:pt>
                <c:pt idx="9">
                  <c:v>0.70299999999999996</c:v>
                </c:pt>
              </c:numCache>
            </c:numRef>
          </c:xVal>
          <c:yVal>
            <c:numRef>
              <c:f>'16'!$I$28:$I$37</c:f>
              <c:numCache>
                <c:formatCode>0.0000</c:formatCode>
                <c:ptCount val="10"/>
                <c:pt idx="0">
                  <c:v>1.0004833</c:v>
                </c:pt>
                <c:pt idx="1">
                  <c:v>1.0006933</c:v>
                </c:pt>
                <c:pt idx="2">
                  <c:v>1.0006999999999999</c:v>
                </c:pt>
                <c:pt idx="3">
                  <c:v>1.0005200000000001</c:v>
                </c:pt>
                <c:pt idx="4">
                  <c:v>1.0005133000000002</c:v>
                </c:pt>
                <c:pt idx="5">
                  <c:v>1.0006433000000001</c:v>
                </c:pt>
                <c:pt idx="6">
                  <c:v>1.0007333</c:v>
                </c:pt>
                <c:pt idx="7">
                  <c:v>1.0007200000000001</c:v>
                </c:pt>
                <c:pt idx="8">
                  <c:v>1.0006200000000001</c:v>
                </c:pt>
                <c:pt idx="9">
                  <c:v>1.0006133000000001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4-4BEE-AE3C-9D7E4C1D3EA5}"/>
            </c:ext>
          </c:extLst>
        </c:ser>
        <c:ser>
          <c:idx val="1"/>
          <c:order val="1"/>
          <c:tx>
            <c:strRef>
              <c:f>'16'!$M$7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04-4BEE-AE3C-9D7E4C1D3EA5}"/>
            </c:ext>
          </c:extLst>
        </c:ser>
        <c:ser>
          <c:idx val="2"/>
          <c:order val="2"/>
          <c:tx>
            <c:strRef>
              <c:f>'16'!$M$9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04-4BEE-AE3C-9D7E4C1D3EA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04-4BEE-AE3C-9D7E4C1D3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'16'!$M$6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0-4CC5-8A89-2BF7E24D4E4B}"/>
            </c:ext>
          </c:extLst>
        </c:ser>
        <c:ser>
          <c:idx val="0"/>
          <c:order val="1"/>
          <c:tx>
            <c:strRef>
              <c:f>'16'!$M$27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'16'!$M$28:$M$42</c:f>
              <c:numCache>
                <c:formatCode>General</c:formatCode>
                <c:ptCount val="15"/>
                <c:pt idx="0">
                  <c:v>-1.5069999999999997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-1.5469999999999997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'16'!$N$28:$N$42</c:f>
              <c:numCache>
                <c:formatCode>General</c:formatCode>
                <c:ptCount val="15"/>
                <c:pt idx="0">
                  <c:v>1.0004833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1.0006433000000001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1.0008433000000001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20-4CC5-8A89-2BF7E24D4E4B}"/>
            </c:ext>
          </c:extLst>
        </c:ser>
        <c:ser>
          <c:idx val="4"/>
          <c:order val="2"/>
          <c:tx>
            <c:strRef>
              <c:f>'16'!$M$9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20-4CC5-8A89-2BF7E24D4E4B}"/>
            </c:ext>
          </c:extLst>
        </c:ser>
        <c:ser>
          <c:idx val="3"/>
          <c:order val="3"/>
          <c:tx>
            <c:strRef>
              <c:f>'16'!$O$27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'16'!$O$28:$O$42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0.77700000000000002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2.137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'16'!$P$28:$P$42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1.0006933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1.0008133000000001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20-4CC5-8A89-2BF7E24D4E4B}"/>
            </c:ext>
          </c:extLst>
        </c:ser>
        <c:ser>
          <c:idx val="1"/>
          <c:order val="4"/>
          <c:tx>
            <c:strRef>
              <c:f>'16'!$M$12:$M$13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'16'!$Q$12:$U$12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'16'!$Q$13:$U$13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20-4CC5-8A89-2BF7E24D4E4B}"/>
            </c:ext>
          </c:extLst>
        </c:ser>
        <c:ser>
          <c:idx val="5"/>
          <c:order val="5"/>
          <c:tx>
            <c:strRef>
              <c:f>'16'!$Q$27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'16'!$Q$28:$Q$42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1.1869999999999998</c:v>
                </c:pt>
                <c:pt idx="3">
                  <c:v>0.74</c:v>
                </c:pt>
                <c:pt idx="4" formatCode="0.0000">
                  <c:v>0.75299999999999989</c:v>
                </c:pt>
                <c:pt idx="5">
                  <c:v>0</c:v>
                </c:pt>
                <c:pt idx="6">
                  <c:v>0</c:v>
                </c:pt>
                <c:pt idx="7">
                  <c:v>0.91699999999999993</c:v>
                </c:pt>
                <c:pt idx="8">
                  <c:v>0.75</c:v>
                </c:pt>
                <c:pt idx="9" formatCode="0.0000">
                  <c:v>0.70299999999999996</c:v>
                </c:pt>
                <c:pt idx="10">
                  <c:v>0</c:v>
                </c:pt>
                <c:pt idx="11">
                  <c:v>0</c:v>
                </c:pt>
                <c:pt idx="12">
                  <c:v>1.827</c:v>
                </c:pt>
                <c:pt idx="13">
                  <c:v>1.63</c:v>
                </c:pt>
                <c:pt idx="14" formatCode="0.0000">
                  <c:v>2.0030000000000001</c:v>
                </c:pt>
              </c:numCache>
            </c:numRef>
          </c:xVal>
          <c:yVal>
            <c:numRef>
              <c:f>'16'!$R$28:$R$42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1.0006999999999999</c:v>
                </c:pt>
                <c:pt idx="3">
                  <c:v>1.0005200000000001</c:v>
                </c:pt>
                <c:pt idx="4" formatCode="0.0000">
                  <c:v>1.0005133000000002</c:v>
                </c:pt>
                <c:pt idx="5">
                  <c:v>0</c:v>
                </c:pt>
                <c:pt idx="6">
                  <c:v>0</c:v>
                </c:pt>
                <c:pt idx="7">
                  <c:v>1.0007200000000001</c:v>
                </c:pt>
                <c:pt idx="8">
                  <c:v>1.0006200000000001</c:v>
                </c:pt>
                <c:pt idx="9" formatCode="0.0000">
                  <c:v>1.0006133000000001</c:v>
                </c:pt>
                <c:pt idx="10">
                  <c:v>0</c:v>
                </c:pt>
                <c:pt idx="11">
                  <c:v>0</c:v>
                </c:pt>
                <c:pt idx="12">
                  <c:v>1.00081</c:v>
                </c:pt>
                <c:pt idx="13">
                  <c:v>1.00068</c:v>
                </c:pt>
                <c:pt idx="14" formatCode="0.0000">
                  <c:v>1.0007333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20-4CC5-8A89-2BF7E24D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D-4C54-8C17-89FCF758852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FD-4C54-8C17-89FCF758852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2FD-4C54-8C17-89FCF7588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5-464B-8131-223B148B0D6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795-464B-8131-223B148B0D6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795-464B-8131-223B148B0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'17'!$H$28:$H$37</c:f>
              <c:numCache>
                <c:formatCode>0.0000</c:formatCode>
                <c:ptCount val="10"/>
                <c:pt idx="0">
                  <c:v>-0.43699999999999983</c:v>
                </c:pt>
                <c:pt idx="1">
                  <c:v>1.387</c:v>
                </c:pt>
                <c:pt idx="2">
                  <c:v>1.117</c:v>
                </c:pt>
                <c:pt idx="3">
                  <c:v>0.65999999999999992</c:v>
                </c:pt>
                <c:pt idx="4">
                  <c:v>0.60299999999999998</c:v>
                </c:pt>
                <c:pt idx="5">
                  <c:v>-0.74699999999999989</c:v>
                </c:pt>
                <c:pt idx="6">
                  <c:v>1.607</c:v>
                </c:pt>
                <c:pt idx="7">
                  <c:v>1.177</c:v>
                </c:pt>
                <c:pt idx="8">
                  <c:v>0.61</c:v>
                </c:pt>
                <c:pt idx="9">
                  <c:v>0.57299999999999995</c:v>
                </c:pt>
              </c:numCache>
            </c:numRef>
          </c:xVal>
          <c:yVal>
            <c:numRef>
              <c:f>'17'!$I$28:$I$37</c:f>
              <c:numCache>
                <c:formatCode>0.0000</c:formatCode>
                <c:ptCount val="10"/>
                <c:pt idx="0">
                  <c:v>1.0006433000000001</c:v>
                </c:pt>
                <c:pt idx="1">
                  <c:v>1.0007333</c:v>
                </c:pt>
                <c:pt idx="2">
                  <c:v>1.0002499999999999</c:v>
                </c:pt>
                <c:pt idx="3">
                  <c:v>1.0004500000000001</c:v>
                </c:pt>
                <c:pt idx="4">
                  <c:v>1.0004433000000001</c:v>
                </c:pt>
                <c:pt idx="5">
                  <c:v>1.0006433000000001</c:v>
                </c:pt>
                <c:pt idx="6">
                  <c:v>1.0007333</c:v>
                </c:pt>
                <c:pt idx="7">
                  <c:v>1.0002799999999998</c:v>
                </c:pt>
                <c:pt idx="8">
                  <c:v>1.0004600000000001</c:v>
                </c:pt>
                <c:pt idx="9">
                  <c:v>1.0004733000000001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8-418A-B73A-8D230375544B}"/>
            </c:ext>
          </c:extLst>
        </c:ser>
        <c:ser>
          <c:idx val="1"/>
          <c:order val="1"/>
          <c:tx>
            <c:strRef>
              <c:f>'17'!$M$7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8-418A-B73A-8D230375544B}"/>
            </c:ext>
          </c:extLst>
        </c:ser>
        <c:ser>
          <c:idx val="2"/>
          <c:order val="2"/>
          <c:tx>
            <c:strRef>
              <c:f>'17'!$M$9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8-418A-B73A-8D230375544B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C8-418A-B73A-8D2303755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'17'!$M$6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8-4CEF-954A-F9F785AA8A8C}"/>
            </c:ext>
          </c:extLst>
        </c:ser>
        <c:ser>
          <c:idx val="0"/>
          <c:order val="1"/>
          <c:tx>
            <c:strRef>
              <c:f>'17'!$M$27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'17'!$M$28:$M$42</c:f>
              <c:numCache>
                <c:formatCode>General</c:formatCode>
                <c:ptCount val="15"/>
                <c:pt idx="0">
                  <c:v>-0.43699999999999983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-0.74699999999999989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'17'!$N$28:$N$42</c:f>
              <c:numCache>
                <c:formatCode>General</c:formatCode>
                <c:ptCount val="15"/>
                <c:pt idx="0">
                  <c:v>1.0006433000000001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1.0006433000000001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1.0008933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98-4CEF-954A-F9F785AA8A8C}"/>
            </c:ext>
          </c:extLst>
        </c:ser>
        <c:ser>
          <c:idx val="4"/>
          <c:order val="2"/>
          <c:tx>
            <c:strRef>
              <c:f>'17'!$M$9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98-4CEF-954A-F9F785AA8A8C}"/>
            </c:ext>
          </c:extLst>
        </c:ser>
        <c:ser>
          <c:idx val="3"/>
          <c:order val="3"/>
          <c:tx>
            <c:strRef>
              <c:f>'17'!$O$27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'17'!$O$28:$O$42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1.387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2.2570000000000001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'17'!$P$28:$P$42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1.0008133000000001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98-4CEF-954A-F9F785AA8A8C}"/>
            </c:ext>
          </c:extLst>
        </c:ser>
        <c:ser>
          <c:idx val="1"/>
          <c:order val="4"/>
          <c:tx>
            <c:strRef>
              <c:f>'17'!$M$12:$M$13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'17'!$Q$12:$U$12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'17'!$Q$13:$U$13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98-4CEF-954A-F9F785AA8A8C}"/>
            </c:ext>
          </c:extLst>
        </c:ser>
        <c:ser>
          <c:idx val="5"/>
          <c:order val="5"/>
          <c:tx>
            <c:strRef>
              <c:f>'17'!$Q$27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'17'!$Q$28:$Q$42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1.117</c:v>
                </c:pt>
                <c:pt idx="3">
                  <c:v>0.65999999999999992</c:v>
                </c:pt>
                <c:pt idx="4" formatCode="0.0000">
                  <c:v>0.60299999999999998</c:v>
                </c:pt>
                <c:pt idx="5">
                  <c:v>0</c:v>
                </c:pt>
                <c:pt idx="6">
                  <c:v>0</c:v>
                </c:pt>
                <c:pt idx="7">
                  <c:v>1.177</c:v>
                </c:pt>
                <c:pt idx="8">
                  <c:v>0.61</c:v>
                </c:pt>
                <c:pt idx="9" formatCode="0.0000">
                  <c:v>0.57299999999999995</c:v>
                </c:pt>
                <c:pt idx="10">
                  <c:v>0</c:v>
                </c:pt>
                <c:pt idx="11">
                  <c:v>0</c:v>
                </c:pt>
                <c:pt idx="12">
                  <c:v>1.867</c:v>
                </c:pt>
                <c:pt idx="13">
                  <c:v>1.56</c:v>
                </c:pt>
                <c:pt idx="14" formatCode="0.0000">
                  <c:v>1.5529999999999999</c:v>
                </c:pt>
              </c:numCache>
            </c:numRef>
          </c:xVal>
          <c:yVal>
            <c:numRef>
              <c:f>'17'!$R$28:$R$42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1.0002499999999999</c:v>
                </c:pt>
                <c:pt idx="3">
                  <c:v>1.0004500000000001</c:v>
                </c:pt>
                <c:pt idx="4" formatCode="0.0000">
                  <c:v>1.0004433000000001</c:v>
                </c:pt>
                <c:pt idx="5">
                  <c:v>0</c:v>
                </c:pt>
                <c:pt idx="6">
                  <c:v>0</c:v>
                </c:pt>
                <c:pt idx="7">
                  <c:v>1.0002799999999998</c:v>
                </c:pt>
                <c:pt idx="8">
                  <c:v>1.0004600000000001</c:v>
                </c:pt>
                <c:pt idx="9" formatCode="0.0000">
                  <c:v>1.0004733000000001</c:v>
                </c:pt>
                <c:pt idx="10">
                  <c:v>0</c:v>
                </c:pt>
                <c:pt idx="11">
                  <c:v>0</c:v>
                </c:pt>
                <c:pt idx="12">
                  <c:v>1.00081</c:v>
                </c:pt>
                <c:pt idx="13">
                  <c:v>1.0006300000000001</c:v>
                </c:pt>
                <c:pt idx="14" formatCode="0.0000">
                  <c:v>1.0006233000000002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98-4CEF-954A-F9F785AA8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C-4F7F-B745-3EBA11C4034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CEC-4F7F-B745-3EBA11C4034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CEC-4F7F-B745-3EBA11C40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30-406D-930C-4A8D42DEB90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030-406D-930C-4A8D42DEB90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030-406D-930C-4A8D42DEB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'18'!$H$28:$H$37</c:f>
              <c:numCache>
                <c:formatCode>0.0000</c:formatCode>
                <c:ptCount val="10"/>
                <c:pt idx="0">
                  <c:v>-0.24699999999999989</c:v>
                </c:pt>
                <c:pt idx="1">
                  <c:v>1.9570000000000001</c:v>
                </c:pt>
                <c:pt idx="2">
                  <c:v>1.7869999999999999</c:v>
                </c:pt>
                <c:pt idx="3">
                  <c:v>1.0699999999999998</c:v>
                </c:pt>
                <c:pt idx="4">
                  <c:v>0.84299999999999997</c:v>
                </c:pt>
                <c:pt idx="5">
                  <c:v>1.2030000000000001</c:v>
                </c:pt>
                <c:pt idx="6">
                  <c:v>2.5369999999999999</c:v>
                </c:pt>
                <c:pt idx="7">
                  <c:v>1.5269999999999999</c:v>
                </c:pt>
                <c:pt idx="8">
                  <c:v>0.72</c:v>
                </c:pt>
                <c:pt idx="9">
                  <c:v>0.67299999999999993</c:v>
                </c:pt>
              </c:numCache>
            </c:numRef>
          </c:xVal>
          <c:yVal>
            <c:numRef>
              <c:f>'18'!$I$28:$I$37</c:f>
              <c:numCache>
                <c:formatCode>0.0000</c:formatCode>
                <c:ptCount val="10"/>
                <c:pt idx="0">
                  <c:v>1.0006933</c:v>
                </c:pt>
                <c:pt idx="1">
                  <c:v>1.0007633</c:v>
                </c:pt>
                <c:pt idx="2">
                  <c:v>1.00041</c:v>
                </c:pt>
                <c:pt idx="3">
                  <c:v>1.0006300000000001</c:v>
                </c:pt>
                <c:pt idx="4">
                  <c:v>1.0006033000000001</c:v>
                </c:pt>
                <c:pt idx="5">
                  <c:v>1.0008233</c:v>
                </c:pt>
                <c:pt idx="6">
                  <c:v>1.0008833000000001</c:v>
                </c:pt>
                <c:pt idx="7">
                  <c:v>1.0005899999999999</c:v>
                </c:pt>
                <c:pt idx="8">
                  <c:v>1.0006200000000001</c:v>
                </c:pt>
                <c:pt idx="9">
                  <c:v>1.0006133000000001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A-49B0-81D9-E78015B4EC0C}"/>
            </c:ext>
          </c:extLst>
        </c:ser>
        <c:ser>
          <c:idx val="1"/>
          <c:order val="1"/>
          <c:tx>
            <c:strRef>
              <c:f>'18'!$M$7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A-49B0-81D9-E78015B4EC0C}"/>
            </c:ext>
          </c:extLst>
        </c:ser>
        <c:ser>
          <c:idx val="2"/>
          <c:order val="2"/>
          <c:tx>
            <c:strRef>
              <c:f>'18'!$M$9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BA-49B0-81D9-E78015B4EC0C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BA-49B0-81D9-E78015B4E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'18'!$M$6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F-4980-AF7C-6B7E9AB44516}"/>
            </c:ext>
          </c:extLst>
        </c:ser>
        <c:ser>
          <c:idx val="0"/>
          <c:order val="1"/>
          <c:tx>
            <c:strRef>
              <c:f>'18'!$M$27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'18'!$M$28:$M$42</c:f>
              <c:numCache>
                <c:formatCode>General</c:formatCode>
                <c:ptCount val="15"/>
                <c:pt idx="0">
                  <c:v>-0.24699999999999989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1.2030000000000001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1.7629999999999999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'18'!$N$28:$N$42</c:f>
              <c:numCache>
                <c:formatCode>General</c:formatCode>
                <c:ptCount val="15"/>
                <c:pt idx="0">
                  <c:v>1.0006933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1.0008233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1.0007333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F-4980-AF7C-6B7E9AB44516}"/>
            </c:ext>
          </c:extLst>
        </c:ser>
        <c:ser>
          <c:idx val="4"/>
          <c:order val="2"/>
          <c:tx>
            <c:strRef>
              <c:f>'18'!$M$9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2F-4980-AF7C-6B7E9AB44516}"/>
            </c:ext>
          </c:extLst>
        </c:ser>
        <c:ser>
          <c:idx val="3"/>
          <c:order val="3"/>
          <c:tx>
            <c:strRef>
              <c:f>'18'!$O$27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'18'!$O$28:$O$42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1.9570000000000001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2.5369999999999999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'18'!$P$28:$P$42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1.0008833000000001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1.0012733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2F-4980-AF7C-6B7E9AB44516}"/>
            </c:ext>
          </c:extLst>
        </c:ser>
        <c:ser>
          <c:idx val="1"/>
          <c:order val="4"/>
          <c:tx>
            <c:strRef>
              <c:f>'18'!$M$12:$M$13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'18'!$Q$12:$U$12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'18'!$Q$13:$U$13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2F-4980-AF7C-6B7E9AB44516}"/>
            </c:ext>
          </c:extLst>
        </c:ser>
        <c:ser>
          <c:idx val="5"/>
          <c:order val="5"/>
          <c:tx>
            <c:strRef>
              <c:f>'18'!$Q$27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'18'!$Q$28:$Q$42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1.7869999999999999</c:v>
                </c:pt>
                <c:pt idx="3">
                  <c:v>1.0699999999999998</c:v>
                </c:pt>
                <c:pt idx="4" formatCode="0.0000">
                  <c:v>0.84299999999999997</c:v>
                </c:pt>
                <c:pt idx="5">
                  <c:v>0</c:v>
                </c:pt>
                <c:pt idx="6">
                  <c:v>0</c:v>
                </c:pt>
                <c:pt idx="7">
                  <c:v>1.5269999999999999</c:v>
                </c:pt>
                <c:pt idx="8">
                  <c:v>0.72</c:v>
                </c:pt>
                <c:pt idx="9" formatCode="0.0000">
                  <c:v>0.67299999999999993</c:v>
                </c:pt>
                <c:pt idx="10">
                  <c:v>0</c:v>
                </c:pt>
                <c:pt idx="11">
                  <c:v>0</c:v>
                </c:pt>
                <c:pt idx="12">
                  <c:v>1.7869999999999999</c:v>
                </c:pt>
                <c:pt idx="13">
                  <c:v>1.54</c:v>
                </c:pt>
                <c:pt idx="14" formatCode="0.0000">
                  <c:v>1.4529999999999998</c:v>
                </c:pt>
              </c:numCache>
            </c:numRef>
          </c:xVal>
          <c:yVal>
            <c:numRef>
              <c:f>'18'!$R$28:$R$42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1.00041</c:v>
                </c:pt>
                <c:pt idx="3">
                  <c:v>1.0006300000000001</c:v>
                </c:pt>
                <c:pt idx="4" formatCode="0.0000">
                  <c:v>1.0006033000000001</c:v>
                </c:pt>
                <c:pt idx="5">
                  <c:v>0</c:v>
                </c:pt>
                <c:pt idx="6">
                  <c:v>0</c:v>
                </c:pt>
                <c:pt idx="7">
                  <c:v>1.0005899999999999</c:v>
                </c:pt>
                <c:pt idx="8">
                  <c:v>1.0006200000000001</c:v>
                </c:pt>
                <c:pt idx="9" formatCode="0.0000">
                  <c:v>1.0006133000000001</c:v>
                </c:pt>
                <c:pt idx="10">
                  <c:v>0</c:v>
                </c:pt>
                <c:pt idx="11">
                  <c:v>0</c:v>
                </c:pt>
                <c:pt idx="12">
                  <c:v>1.0007899999999998</c:v>
                </c:pt>
                <c:pt idx="13">
                  <c:v>1.00065</c:v>
                </c:pt>
                <c:pt idx="14" formatCode="0.0000">
                  <c:v>1.0006533000000002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2F-4980-AF7C-6B7E9AB44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7-450D-B996-0039554B9886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C87-450D-B996-0039554B9886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C87-450D-B996-0039554B9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1-4A8A-9F39-CC63C4AF3A2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E51-4A8A-9F39-CC63C4AF3A2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E51-4A8A-9F39-CC63C4AF3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'19'!$H$28:$H$37</c:f>
              <c:numCache>
                <c:formatCode>0.0000</c:formatCode>
                <c:ptCount val="10"/>
                <c:pt idx="0">
                  <c:v>2.1930000000000001</c:v>
                </c:pt>
                <c:pt idx="1">
                  <c:v>2.657</c:v>
                </c:pt>
                <c:pt idx="2">
                  <c:v>1.7069999999999999</c:v>
                </c:pt>
                <c:pt idx="3">
                  <c:v>0.65999999999999992</c:v>
                </c:pt>
                <c:pt idx="4">
                  <c:v>0.58299999999999996</c:v>
                </c:pt>
                <c:pt idx="5">
                  <c:v>-0.44700000000000006</c:v>
                </c:pt>
                <c:pt idx="6">
                  <c:v>1.147</c:v>
                </c:pt>
                <c:pt idx="7">
                  <c:v>0.99699999999999989</c:v>
                </c:pt>
                <c:pt idx="8">
                  <c:v>0.77</c:v>
                </c:pt>
                <c:pt idx="9">
                  <c:v>0.77299999999999991</c:v>
                </c:pt>
              </c:numCache>
            </c:numRef>
          </c:xVal>
          <c:yVal>
            <c:numRef>
              <c:f>'19'!$I$28:$I$37</c:f>
              <c:numCache>
                <c:formatCode>0.0000</c:formatCode>
                <c:ptCount val="10"/>
                <c:pt idx="0">
                  <c:v>1.0009532999999999</c:v>
                </c:pt>
                <c:pt idx="1">
                  <c:v>1.0009433000000001</c:v>
                </c:pt>
                <c:pt idx="2">
                  <c:v>1.00092</c:v>
                </c:pt>
                <c:pt idx="3">
                  <c:v>1.0006200000000001</c:v>
                </c:pt>
                <c:pt idx="4">
                  <c:v>1.0006033000000001</c:v>
                </c:pt>
                <c:pt idx="5">
                  <c:v>1.0006433000000001</c:v>
                </c:pt>
                <c:pt idx="6">
                  <c:v>1.0007033000000001</c:v>
                </c:pt>
                <c:pt idx="7">
                  <c:v>1.0006599999999999</c:v>
                </c:pt>
                <c:pt idx="8">
                  <c:v>1.00057</c:v>
                </c:pt>
                <c:pt idx="9">
                  <c:v>1.0005733000000001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4-4364-A648-A3A6D52D624C}"/>
            </c:ext>
          </c:extLst>
        </c:ser>
        <c:ser>
          <c:idx val="1"/>
          <c:order val="1"/>
          <c:tx>
            <c:strRef>
              <c:f>'19'!$M$7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44-4364-A648-A3A6D52D624C}"/>
            </c:ext>
          </c:extLst>
        </c:ser>
        <c:ser>
          <c:idx val="2"/>
          <c:order val="2"/>
          <c:tx>
            <c:strRef>
              <c:f>'19'!$M$9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44-4364-A648-A3A6D52D624C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44-4364-A648-A3A6D52D6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'19'!$M$6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B-49D4-A4E6-F1B81FB51C28}"/>
            </c:ext>
          </c:extLst>
        </c:ser>
        <c:ser>
          <c:idx val="0"/>
          <c:order val="1"/>
          <c:tx>
            <c:strRef>
              <c:f>'19'!$M$27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'19'!$M$28:$M$42</c:f>
              <c:numCache>
                <c:formatCode>General</c:formatCode>
                <c:ptCount val="15"/>
                <c:pt idx="0">
                  <c:v>2.1930000000000001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-0.44700000000000006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2.1629999999999998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'19'!$N$28:$N$42</c:f>
              <c:numCache>
                <c:formatCode>General</c:formatCode>
                <c:ptCount val="15"/>
                <c:pt idx="0">
                  <c:v>1.0009532999999999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1.0006433000000001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1.0009333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B-49D4-A4E6-F1B81FB51C28}"/>
            </c:ext>
          </c:extLst>
        </c:ser>
        <c:ser>
          <c:idx val="4"/>
          <c:order val="2"/>
          <c:tx>
            <c:strRef>
              <c:f>'19'!$M$9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B-49D4-A4E6-F1B81FB51C28}"/>
            </c:ext>
          </c:extLst>
        </c:ser>
        <c:ser>
          <c:idx val="3"/>
          <c:order val="3"/>
          <c:tx>
            <c:strRef>
              <c:f>'19'!$O$27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'19'!$O$28:$O$42</c:f>
              <c:numCache>
                <c:formatCode>General</c:formatCode>
                <c:ptCount val="15"/>
                <c:pt idx="0">
                  <c:v>0</c:v>
                </c:pt>
                <c:pt idx="1">
                  <c:v>2.657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1.147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'19'!$P$28:$P$42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1.0009433000000001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1.0007033000000001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1.0008433000000001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B-49D4-A4E6-F1B81FB51C28}"/>
            </c:ext>
          </c:extLst>
        </c:ser>
        <c:ser>
          <c:idx val="1"/>
          <c:order val="4"/>
          <c:tx>
            <c:strRef>
              <c:f>'19'!$M$12:$M$13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'19'!$Q$12:$U$12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'19'!$Q$13:$U$13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B-49D4-A4E6-F1B81FB51C28}"/>
            </c:ext>
          </c:extLst>
        </c:ser>
        <c:ser>
          <c:idx val="5"/>
          <c:order val="5"/>
          <c:tx>
            <c:strRef>
              <c:f>'19'!$Q$27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'19'!$Q$28:$Q$42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1.7069999999999999</c:v>
                </c:pt>
                <c:pt idx="3">
                  <c:v>0.65999999999999992</c:v>
                </c:pt>
                <c:pt idx="4" formatCode="0.0000">
                  <c:v>0.58299999999999996</c:v>
                </c:pt>
                <c:pt idx="5">
                  <c:v>0</c:v>
                </c:pt>
                <c:pt idx="6">
                  <c:v>0</c:v>
                </c:pt>
                <c:pt idx="7">
                  <c:v>0.99699999999999989</c:v>
                </c:pt>
                <c:pt idx="8">
                  <c:v>0.77</c:v>
                </c:pt>
                <c:pt idx="9" formatCode="0.0000">
                  <c:v>0.77299999999999991</c:v>
                </c:pt>
                <c:pt idx="10">
                  <c:v>0</c:v>
                </c:pt>
                <c:pt idx="11">
                  <c:v>0</c:v>
                </c:pt>
                <c:pt idx="12">
                  <c:v>1.357</c:v>
                </c:pt>
                <c:pt idx="13">
                  <c:v>0.87999999999999989</c:v>
                </c:pt>
                <c:pt idx="14" formatCode="0.0000">
                  <c:v>3.6630000000000003</c:v>
                </c:pt>
              </c:numCache>
            </c:numRef>
          </c:xVal>
          <c:yVal>
            <c:numRef>
              <c:f>'19'!$R$28:$R$42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1.00092</c:v>
                </c:pt>
                <c:pt idx="3">
                  <c:v>1.0006200000000001</c:v>
                </c:pt>
                <c:pt idx="4" formatCode="0.0000">
                  <c:v>1.0006033000000001</c:v>
                </c:pt>
                <c:pt idx="5">
                  <c:v>0</c:v>
                </c:pt>
                <c:pt idx="6">
                  <c:v>0</c:v>
                </c:pt>
                <c:pt idx="7">
                  <c:v>1.0006599999999999</c:v>
                </c:pt>
                <c:pt idx="8">
                  <c:v>1.00057</c:v>
                </c:pt>
                <c:pt idx="9" formatCode="0.0000">
                  <c:v>1.0005733000000001</c:v>
                </c:pt>
                <c:pt idx="10">
                  <c:v>0</c:v>
                </c:pt>
                <c:pt idx="11">
                  <c:v>0</c:v>
                </c:pt>
                <c:pt idx="12">
                  <c:v>1.0007899999999998</c:v>
                </c:pt>
                <c:pt idx="13">
                  <c:v>1.00061</c:v>
                </c:pt>
                <c:pt idx="14" formatCode="0.0000">
                  <c:v>1.0009033000000001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B-49D4-A4E6-F1B81FB51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7-428F-A50F-8E5A0FC0976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FB7-428F-A50F-8E5A0FC0976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FB7-428F-A50F-8E5A0FC09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B-4B3A-89E0-67970B40471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37B-4B3A-89E0-67970B40471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37B-4B3A-89E0-67970B40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'20'!$H$28:$H$37</c:f>
              <c:numCache>
                <c:formatCode>0.0000</c:formatCode>
                <c:ptCount val="10"/>
                <c:pt idx="0">
                  <c:v>2.843</c:v>
                </c:pt>
                <c:pt idx="1">
                  <c:v>1.657</c:v>
                </c:pt>
                <c:pt idx="2">
                  <c:v>0.81699999999999995</c:v>
                </c:pt>
                <c:pt idx="3">
                  <c:v>0.7</c:v>
                </c:pt>
                <c:pt idx="4">
                  <c:v>0.69299999999999995</c:v>
                </c:pt>
                <c:pt idx="5">
                  <c:v>2.843</c:v>
                </c:pt>
                <c:pt idx="6">
                  <c:v>1.657</c:v>
                </c:pt>
                <c:pt idx="7">
                  <c:v>0.81699999999999995</c:v>
                </c:pt>
                <c:pt idx="8">
                  <c:v>0.7</c:v>
                </c:pt>
                <c:pt idx="9">
                  <c:v>0.69299999999999995</c:v>
                </c:pt>
              </c:numCache>
            </c:numRef>
          </c:xVal>
          <c:yVal>
            <c:numRef>
              <c:f>'20'!$I$28:$I$37</c:f>
              <c:numCache>
                <c:formatCode>0.0000</c:formatCode>
                <c:ptCount val="10"/>
                <c:pt idx="0">
                  <c:v>1.0008333</c:v>
                </c:pt>
                <c:pt idx="1">
                  <c:v>1.0006733000000001</c:v>
                </c:pt>
                <c:pt idx="2">
                  <c:v>1.0004999999999999</c:v>
                </c:pt>
                <c:pt idx="3">
                  <c:v>1.00041</c:v>
                </c:pt>
                <c:pt idx="4">
                  <c:v>1.0004033000000001</c:v>
                </c:pt>
                <c:pt idx="5">
                  <c:v>1.0008333</c:v>
                </c:pt>
                <c:pt idx="6">
                  <c:v>1.0006733000000001</c:v>
                </c:pt>
                <c:pt idx="7">
                  <c:v>1.0004999999999999</c:v>
                </c:pt>
                <c:pt idx="8">
                  <c:v>1.00041</c:v>
                </c:pt>
                <c:pt idx="9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B8-4C96-B4AF-900C48A3A940}"/>
            </c:ext>
          </c:extLst>
        </c:ser>
        <c:ser>
          <c:idx val="1"/>
          <c:order val="1"/>
          <c:tx>
            <c:strRef>
              <c:f>'20'!$M$7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8-4C96-B4AF-900C48A3A940}"/>
            </c:ext>
          </c:extLst>
        </c:ser>
        <c:ser>
          <c:idx val="2"/>
          <c:order val="2"/>
          <c:tx>
            <c:strRef>
              <c:f>'20'!$M$9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'20'!$Q$9:$U$9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B8-4C96-B4AF-900C48A3A940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B8-4C96-B4AF-900C48A3A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'20'!$M$6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2-4879-8FD2-9CF6984A548A}"/>
            </c:ext>
          </c:extLst>
        </c:ser>
        <c:ser>
          <c:idx val="0"/>
          <c:order val="1"/>
          <c:tx>
            <c:strRef>
              <c:f>'20'!$M$27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'20'!$M$28:$M$42</c:f>
              <c:numCache>
                <c:formatCode>General</c:formatCode>
                <c:ptCount val="15"/>
                <c:pt idx="0">
                  <c:v>2.843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'20'!$N$28:$N$42</c:f>
              <c:numCache>
                <c:formatCode>General</c:formatCode>
                <c:ptCount val="15"/>
                <c:pt idx="0">
                  <c:v>1.0008333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1.0008333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2-4879-8FD2-9CF6984A548A}"/>
            </c:ext>
          </c:extLst>
        </c:ser>
        <c:ser>
          <c:idx val="4"/>
          <c:order val="2"/>
          <c:tx>
            <c:strRef>
              <c:f>'20'!$M$9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2-4879-8FD2-9CF6984A548A}"/>
            </c:ext>
          </c:extLst>
        </c:ser>
        <c:ser>
          <c:idx val="3"/>
          <c:order val="3"/>
          <c:tx>
            <c:strRef>
              <c:f>'20'!$O$27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'20'!$O$28:$O$42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'20'!$P$28:$P$42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1.0006733000000001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1.0006733000000001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1.0006733000000001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2-4879-8FD2-9CF6984A548A}"/>
            </c:ext>
          </c:extLst>
        </c:ser>
        <c:ser>
          <c:idx val="1"/>
          <c:order val="4"/>
          <c:tx>
            <c:strRef>
              <c:f>'20'!$M$12:$M$13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'20'!$Q$12:$U$12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'20'!$Q$13:$U$13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22-4879-8FD2-9CF6984A548A}"/>
            </c:ext>
          </c:extLst>
        </c:ser>
        <c:ser>
          <c:idx val="5"/>
          <c:order val="5"/>
          <c:tx>
            <c:strRef>
              <c:f>'20'!$Q$27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'20'!$Q$28:$Q$42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0.81699999999999995</c:v>
                </c:pt>
                <c:pt idx="3">
                  <c:v>0.7</c:v>
                </c:pt>
                <c:pt idx="4" formatCode="0.0000">
                  <c:v>0.69299999999999995</c:v>
                </c:pt>
                <c:pt idx="5">
                  <c:v>0</c:v>
                </c:pt>
                <c:pt idx="6">
                  <c:v>0</c:v>
                </c:pt>
                <c:pt idx="7">
                  <c:v>0.81699999999999995</c:v>
                </c:pt>
                <c:pt idx="8">
                  <c:v>0.7</c:v>
                </c:pt>
                <c:pt idx="9" formatCode="0.0000">
                  <c:v>0.69299999999999995</c:v>
                </c:pt>
                <c:pt idx="10">
                  <c:v>0</c:v>
                </c:pt>
                <c:pt idx="11">
                  <c:v>0</c:v>
                </c:pt>
                <c:pt idx="12">
                  <c:v>0.81699999999999995</c:v>
                </c:pt>
                <c:pt idx="13">
                  <c:v>0.7</c:v>
                </c:pt>
                <c:pt idx="14" formatCode="0.0000">
                  <c:v>0.69299999999999995</c:v>
                </c:pt>
              </c:numCache>
            </c:numRef>
          </c:xVal>
          <c:yVal>
            <c:numRef>
              <c:f>'20'!$R$28:$R$42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1.0004999999999999</c:v>
                </c:pt>
                <c:pt idx="3">
                  <c:v>1.00041</c:v>
                </c:pt>
                <c:pt idx="4" formatCode="0.0000">
                  <c:v>1.0004033000000001</c:v>
                </c:pt>
                <c:pt idx="5">
                  <c:v>0</c:v>
                </c:pt>
                <c:pt idx="6">
                  <c:v>0</c:v>
                </c:pt>
                <c:pt idx="7">
                  <c:v>1.0004999999999999</c:v>
                </c:pt>
                <c:pt idx="8">
                  <c:v>1.00041</c:v>
                </c:pt>
                <c:pt idx="9" formatCode="0.0000">
                  <c:v>1.0004033000000001</c:v>
                </c:pt>
                <c:pt idx="10">
                  <c:v>0</c:v>
                </c:pt>
                <c:pt idx="11">
                  <c:v>0</c:v>
                </c:pt>
                <c:pt idx="12">
                  <c:v>1.0004999999999999</c:v>
                </c:pt>
                <c:pt idx="13">
                  <c:v>1.00041</c:v>
                </c:pt>
                <c:pt idx="14" formatCode="0.0000">
                  <c:v>1.0004033000000001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22-4879-8FD2-9CF6984A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4-4122-98B5-61808586A67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EB4-4122-98B5-61808586A67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EB4-4122-98B5-61808586A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5-4540-9954-24800653861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55-4540-9954-24800653861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155-4540-9954-24800653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4.png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4.png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image" Target="../media/image4.png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image" Target="../media/image4.png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1.xml"/><Relationship Id="rId7" Type="http://schemas.openxmlformats.org/officeDocument/2006/relationships/image" Target="../media/image3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image" Target="../media/image4.png"/><Relationship Id="rId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image" Target="../media/image4.png"/><Relationship Id="rId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image" Target="../media/image4.png"/><Relationship Id="rId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5" Type="http://schemas.openxmlformats.org/officeDocument/2006/relationships/image" Target="../media/image4.png"/><Relationship Id="rId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5" Type="http://schemas.openxmlformats.org/officeDocument/2006/relationships/image" Target="../media/image4.png"/><Relationship Id="rId4" Type="http://schemas.openxmlformats.org/officeDocument/2006/relationships/chart" Target="../charts/chart4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5" Type="http://schemas.openxmlformats.org/officeDocument/2006/relationships/image" Target="../media/image4.png"/><Relationship Id="rId4" Type="http://schemas.openxmlformats.org/officeDocument/2006/relationships/chart" Target="../charts/chart4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5" Type="http://schemas.openxmlformats.org/officeDocument/2006/relationships/image" Target="../media/image4.png"/><Relationship Id="rId4" Type="http://schemas.openxmlformats.org/officeDocument/2006/relationships/chart" Target="../charts/chart5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image" Target="../media/image4.png"/><Relationship Id="rId4" Type="http://schemas.openxmlformats.org/officeDocument/2006/relationships/chart" Target="../charts/chart5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5" Type="http://schemas.openxmlformats.org/officeDocument/2006/relationships/image" Target="../media/image4.png"/><Relationship Id="rId4" Type="http://schemas.openxmlformats.org/officeDocument/2006/relationships/chart" Target="../charts/chart5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5" Type="http://schemas.openxmlformats.org/officeDocument/2006/relationships/image" Target="../media/image4.png"/><Relationship Id="rId4" Type="http://schemas.openxmlformats.org/officeDocument/2006/relationships/chart" Target="../charts/chart62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5" Type="http://schemas.openxmlformats.org/officeDocument/2006/relationships/image" Target="../media/image4.png"/><Relationship Id="rId4" Type="http://schemas.openxmlformats.org/officeDocument/2006/relationships/chart" Target="../charts/chart6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5" Type="http://schemas.openxmlformats.org/officeDocument/2006/relationships/image" Target="../media/image4.png"/><Relationship Id="rId4" Type="http://schemas.openxmlformats.org/officeDocument/2006/relationships/chart" Target="../charts/chart7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image" Target="../media/image4.png"/><Relationship Id="rId4" Type="http://schemas.openxmlformats.org/officeDocument/2006/relationships/chart" Target="../charts/chart74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7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5" Type="http://schemas.openxmlformats.org/officeDocument/2006/relationships/image" Target="../media/image4.png"/><Relationship Id="rId4" Type="http://schemas.openxmlformats.org/officeDocument/2006/relationships/chart" Target="../charts/chart78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5" Type="http://schemas.openxmlformats.org/officeDocument/2006/relationships/image" Target="../media/image4.png"/><Relationship Id="rId4" Type="http://schemas.openxmlformats.org/officeDocument/2006/relationships/chart" Target="../charts/chart82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4.xml"/><Relationship Id="rId1" Type="http://schemas.openxmlformats.org/officeDocument/2006/relationships/chart" Target="../charts/chart8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D126FFB-CE30-401C-8455-15AE7950B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C69C7E2-A18A-4190-8595-52B7DF2A4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48</xdr:row>
      <xdr:rowOff>14967</xdr:rowOff>
    </xdr:from>
    <xdr:to>
      <xdr:col>8</xdr:col>
      <xdr:colOff>631092</xdr:colOff>
      <xdr:row>48</xdr:row>
      <xdr:rowOff>172302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D943DE77-466B-4E29-8F54-9840CFEED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27488" y="13235667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ADF47CD5-38DE-4460-8AF4-A4A0D670F538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104775</xdr:rowOff>
    </xdr:from>
    <xdr:to>
      <xdr:col>0</xdr:col>
      <xdr:colOff>1227375</xdr:colOff>
      <xdr:row>1</xdr:row>
      <xdr:rowOff>283853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9730258-D964-4BEA-B917-C69E4D81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1198800" cy="3695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7045F40-E89A-4B27-BF83-6A8399DC8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F26FAED-57B8-40F7-826E-0A911922F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CB1F4-509B-4D97-8FFE-3E271F5EE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DD1D66F-727E-47F0-ABE4-619CAEBED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8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98070F8F-A3A9-4511-807E-7B2772FAD172}"/>
            </a:ext>
          </a:extLst>
        </xdr:cNvPr>
        <xdr:cNvSpPr>
          <a:spLocks noChangeAspect="1" noChangeArrowheads="1"/>
        </xdr:cNvSpPr>
      </xdr:nvSpPr>
      <xdr:spPr bwMode="auto">
        <a:xfrm>
          <a:off x="0" y="244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4EF912E-D816-4526-95B0-42E7AB6F4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4575" y="12068175"/>
          <a:ext cx="6838095" cy="20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11</xdr:col>
      <xdr:colOff>132495</xdr:colOff>
      <xdr:row>36</xdr:row>
      <xdr:rowOff>114048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9325"/>
          <a:ext cx="6838095" cy="20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783217B-2A6B-4B09-B7EB-71DE27F3E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CF5FA62-4AE1-4609-8EC9-0D2E2399F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FE765D-2D89-4CE1-8305-850DA8428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A240C68-69AD-4D19-805E-2EE9019A1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FADC1A46-42D4-443E-96F6-3E9339AE992C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45473B9-D419-42E9-88DB-08DB04C67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7D77059-0970-42DF-A7CF-F875C627B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70419B7-356A-4862-B2D4-95A782098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896180-5FF5-43C7-AC00-C656F80B8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7012167-CAB9-493E-BE3C-5AC98382B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08601FDE-2A9A-4689-8043-9F43F8830238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B768F48-0423-4197-9493-7C40F5230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A51E726-7A33-48E1-9F94-4FB280E77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D17A41B-1897-4135-A442-DEEF30266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9E8344-DFC0-4B64-9498-4A3861668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9E90CD5-2BE9-4D99-AE99-AA1EDF31E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A71860D7-05A0-485A-89D4-1BB8AD4E4D7F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E03EFE1-FB66-4C30-87D4-EDA738758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23F9A65-906D-42CF-912A-07E4CA2B7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F8A4698-CAAA-4D9A-B2E7-F62878B18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3D817-7EBD-40D8-A069-45C99AE4F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9F56F7B-4D17-4F42-A7B6-DCA4F4C45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483688</xdr:colOff>
      <xdr:row>0</xdr:row>
      <xdr:rowOff>0</xdr:rowOff>
    </xdr:from>
    <xdr:to>
      <xdr:col>8</xdr:col>
      <xdr:colOff>631092</xdr:colOff>
      <xdr:row>0</xdr:row>
      <xdr:rowOff>157335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5A4878A6-F579-4F65-99BC-5014DE53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27488" y="13235667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86E3C7B8-0FAF-4F25-84DF-D510676EBA23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1227375</xdr:colOff>
      <xdr:row>1</xdr:row>
      <xdr:rowOff>121928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D5BF3A2-1F19-4CB7-9D08-A72E3E5C0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1198800" cy="369578"/>
        </a:xfrm>
        <a:prstGeom prst="rect">
          <a:avLst/>
        </a:prstGeom>
      </xdr:spPr>
    </xdr:pic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E3F6789-2053-4B65-B30B-78452738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9313670-1CD6-4332-8275-C7B17DA4A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9B422D9-0849-496D-8E05-4C1678374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337705-FCC5-458D-A8DC-8CAAAD5DA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1D21B2A-276E-4570-88A9-3DD228B02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B6ED99D6-E4B9-4066-A7EE-8EAC489B6319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6B57263-CA4D-44A6-BE71-AFF613B9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CFE4B29-0B78-4AE1-8283-67B2FDF46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9347EE1-D936-4AF8-8772-306CEEDF1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468463-2428-4B39-8D45-93C86A8CD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0437B06-18EF-4D17-B6BA-CFF4531F0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EA1BC80F-58C2-4CA3-AF6A-3808D8A011D9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A5A0D86-2365-4871-A74A-88061CD39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4CEC381-6C62-40EB-A17F-EE4A173DE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338EC5B-C3DE-4305-97A2-CC0F99DD3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3EB3F3-EA46-4534-84E3-9EFEF1D32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C3444A40-0338-4366-AE2F-3991D43A1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B15337FE-3BE6-4BC3-95A5-DA889D92389E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8D5D5FF-F370-4BF3-9B55-DCD7AC94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B5DBBB7-DA16-405E-B678-4916CA16D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2D62E71D-FE90-4903-97D1-07176592A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3E261F-CC9F-4749-AC77-0BC74E2F5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BD0E44C-B866-4C7A-A9BC-307722250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3A71348D-F399-41F8-A8AB-24A1299D21DD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93DC2F4-9028-4264-89DD-8B81E6618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B0E673C-157A-4CA1-B56D-D1C8F80D6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E18874A-3826-457D-B3FE-9412596DC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A467EA-8EAB-42E1-AD85-5F39BDF1F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43F6C0B-CE27-4163-9782-26A44FE2C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A1EAB92C-1F34-4CB7-894D-48379DD816BB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9E58296-AB85-4F00-B4B5-2EFCA5762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1625767-E113-4002-AB2F-B01D4E41B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DB4917BF-035E-4FEC-9545-2F012559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DFE414-86CD-4319-93F1-6397FA797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0B620C0-B929-4871-9E7D-AF17CCD19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1350C63D-8D78-4904-92EF-22BFA9E2BCFC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FCE508-12C4-49F2-AFD3-658BD642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3B49EA8-9071-4FE7-824D-A6A0C9FB5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7752094-BB55-43BD-A377-C3FD75103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9D4139-6172-4B8F-8AED-C7CEADC10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DF9FF7D-84F5-408C-86FF-81363B4CB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F0274D1E-993E-43B8-A3BA-DFE55DF0338F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D951306-83E3-4B80-BE1C-FCA0413D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68006D8-4E86-44AC-9812-E85EA5496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BB4B00B-1E8E-411A-BD3B-D5072F197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779F6A-A7E3-4654-B2D0-A0AA8045C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12C7789-59FD-43F5-A623-CCB11B881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E282C193-DEEC-4931-B906-89993661A4CA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6D18000-4BC4-4AB2-BD8F-724CF3FF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C43BC09-8CCE-4E12-AB7B-B758AA834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B9BC452-229A-420E-9F2D-168690F69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527906-65EE-4598-BA52-18A3425F0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7DF7A79-AF5A-4D8B-AE11-1EB460EEE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82CBD662-9C6E-4F1D-9BDF-DD423D2A2DC3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34BB4C4-C05B-45A7-B623-3E619EDF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7CA813C-86F9-415E-8821-0D66EAD5D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788A817-4E38-49B1-884B-DDD8A1274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CA97B4-99CC-4E82-B973-2F538BB88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FAA2BF7-91D8-4F03-A9A8-DF9D7E9A8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FF77E694-C06A-4B3C-8743-680E38B66FFD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C6E8DBE-F049-4944-97E5-7F7C5811C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CF31C48-D8E9-401A-84E5-30811A491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98D8B80-3667-4FB7-A3D2-5B007C7BD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03F2DB-06FB-4D80-8E2C-DD491ABD8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228337A-0835-4B4B-B783-B66F3978A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5E427ED4-1E86-4196-8ED9-9EFADA92FFAE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5045C1B-DAA7-4063-B6A5-279F5CFF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530AD96-5CB9-4078-82F4-A45EA8838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299BC14-6851-4D39-B946-EAF4151DF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99E03-4A1F-4B37-A40F-52F5A5D9A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C442A80-16AA-4A8D-888C-27673584C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EDC25621-ABF7-481E-8868-27AF9BE79ACE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652E3DD-8031-49FD-8220-9E95A14C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1D3674A6-3DCE-4AAE-A406-B96FB1C0F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315EEDA-FA5D-4DCD-9076-815844285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1D8831-6DCE-485D-8751-7FD2D1B50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17608212-85AC-4F1F-A016-513266FAB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53A54B37-435F-4D44-BC66-2187C51112A3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94BFC60-9FA0-4008-B674-374C293B3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6BA0593-4446-4D1C-A962-81CD7065A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5F87400-7F12-415B-B847-39202FE78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D2F0FD-207D-47E0-AD63-DF05E8716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F831D30-3B52-4ECE-BD73-A92C10D0A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CBDAEA6C-15D4-4C05-824E-41A722CFA3E9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38704F2-8A14-4FAA-9623-C98BA7AF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FDA93AF-C3C5-4682-A187-B74681C1E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513B1C1-1D91-4666-818D-7A9D61527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F601BD-3CDD-49EC-A6C9-3D78D2F18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A4B1660-2554-4407-9C9A-83D3111BE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8150C57C-E9C1-4FA4-B338-AC9AA75A0041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7FFD869-F59B-4074-9956-7C604303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12D45CA-67CE-4722-810E-22014E472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17051D29-9FE8-4C38-AA64-51632FF21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58807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46DB42FB-6DCA-4057-AD2D-7A2C604AD2E1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86D0-F576-438D-8435-760E695CB16B}">
  <sheetPr>
    <tabColor rgb="FFFFFF00"/>
  </sheetPr>
  <dimension ref="A1:U50"/>
  <sheetViews>
    <sheetView showGridLines="0" view="pageBreakPreview" topLeftCell="A30" zoomScaleNormal="115" zoomScaleSheetLayoutView="100" workbookViewId="0">
      <selection activeCell="A40" sqref="A40:B40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15" ht="15" customHeight="1" x14ac:dyDescent="0.25">
      <c r="A1" s="173"/>
      <c r="B1" s="175" t="s">
        <v>94</v>
      </c>
      <c r="C1" s="176"/>
      <c r="D1" s="176"/>
      <c r="E1" s="176"/>
      <c r="F1" s="176"/>
      <c r="G1" s="177"/>
      <c r="H1" s="181" t="s">
        <v>87</v>
      </c>
      <c r="I1" s="182"/>
      <c r="J1" s="6"/>
      <c r="K1" s="6"/>
    </row>
    <row r="2" spans="1:15" ht="27" customHeight="1" thickBot="1" x14ac:dyDescent="0.3">
      <c r="A2" s="174"/>
      <c r="B2" s="178"/>
      <c r="C2" s="179"/>
      <c r="D2" s="179"/>
      <c r="E2" s="179"/>
      <c r="F2" s="179"/>
      <c r="G2" s="180"/>
      <c r="H2" s="183"/>
      <c r="I2" s="184"/>
      <c r="J2" s="6"/>
      <c r="K2" s="6"/>
    </row>
    <row r="3" spans="1:15" ht="15" customHeight="1" thickBot="1" x14ac:dyDescent="0.3">
      <c r="A3" s="185" t="s">
        <v>86</v>
      </c>
      <c r="B3" s="186"/>
      <c r="C3" s="186"/>
      <c r="D3" s="186"/>
      <c r="E3" s="186"/>
      <c r="F3" s="186"/>
      <c r="G3" s="186"/>
      <c r="H3" s="186"/>
      <c r="I3" s="187"/>
      <c r="J3" s="6"/>
      <c r="K3" s="6"/>
    </row>
    <row r="4" spans="1:15" s="6" customFormat="1" ht="33" hidden="1" customHeight="1" thickBot="1" x14ac:dyDescent="0.3">
      <c r="A4" s="83"/>
      <c r="B4" s="83"/>
      <c r="C4" s="83"/>
      <c r="D4" s="83"/>
      <c r="E4" s="83"/>
      <c r="F4" s="83"/>
      <c r="G4" s="83"/>
      <c r="H4" s="83"/>
      <c r="I4" s="83"/>
    </row>
    <row r="5" spans="1:15" s="6" customFormat="1" ht="21.6" customHeight="1" x14ac:dyDescent="0.25">
      <c r="A5" s="64" t="s">
        <v>51</v>
      </c>
      <c r="B5" s="142" t="s">
        <v>189</v>
      </c>
      <c r="C5" s="40"/>
      <c r="D5" s="39"/>
      <c r="E5" s="39"/>
      <c r="F5" s="39"/>
      <c r="G5" s="39"/>
      <c r="H5" s="39"/>
      <c r="I5" s="39"/>
    </row>
    <row r="6" spans="1:15" s="39" customFormat="1" ht="21.6" customHeight="1" x14ac:dyDescent="0.25">
      <c r="A6" s="64" t="s">
        <v>65</v>
      </c>
      <c r="B6" s="40" t="s">
        <v>188</v>
      </c>
      <c r="C6" s="41"/>
      <c r="D6" s="41"/>
      <c r="E6" s="41"/>
      <c r="F6" s="41"/>
      <c r="G6" s="42"/>
      <c r="H6" s="42" t="s">
        <v>44</v>
      </c>
      <c r="I6" s="143">
        <v>45826</v>
      </c>
    </row>
    <row r="7" spans="1:15" s="39" customFormat="1" ht="4.5" customHeight="1" x14ac:dyDescent="0.25">
      <c r="A7" s="43"/>
      <c r="B7" s="44"/>
      <c r="C7" s="45"/>
      <c r="D7" s="44"/>
      <c r="E7" s="44"/>
      <c r="F7" s="46"/>
      <c r="G7" s="46"/>
      <c r="H7" s="46"/>
      <c r="I7" s="47"/>
    </row>
    <row r="8" spans="1:15" s="8" customFormat="1" ht="19.899999999999999" customHeight="1" x14ac:dyDescent="0.25">
      <c r="A8" s="48" t="s">
        <v>13</v>
      </c>
      <c r="B8" s="48"/>
      <c r="C8" s="48"/>
      <c r="D8" s="48"/>
      <c r="E8" s="48"/>
      <c r="F8" s="48"/>
      <c r="G8" s="48"/>
      <c r="H8" s="48"/>
      <c r="I8" s="48"/>
    </row>
    <row r="9" spans="1:15" s="14" customFormat="1" ht="15.75" customHeight="1" x14ac:dyDescent="0.25">
      <c r="A9" s="65" t="s">
        <v>45</v>
      </c>
      <c r="C9" s="144" t="s">
        <v>95</v>
      </c>
      <c r="D9" s="49"/>
      <c r="E9" s="50"/>
      <c r="F9" s="50"/>
      <c r="G9" s="50"/>
      <c r="H9" s="50"/>
      <c r="I9" s="50"/>
    </row>
    <row r="10" spans="1:15" s="6" customFormat="1" ht="15.75" customHeight="1" x14ac:dyDescent="0.25">
      <c r="A10" s="2" t="s">
        <v>25</v>
      </c>
      <c r="C10" s="144" t="s">
        <v>96</v>
      </c>
      <c r="D10" s="5"/>
      <c r="F10" s="17"/>
      <c r="G10" s="17"/>
      <c r="H10" s="17"/>
      <c r="I10" s="17"/>
    </row>
    <row r="11" spans="1:15" s="6" customFormat="1" ht="4.5" customHeight="1" x14ac:dyDescent="0.25">
      <c r="B11" s="5"/>
      <c r="C11" s="5"/>
      <c r="D11" s="5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s="6" customFormat="1" ht="18" x14ac:dyDescent="0.25">
      <c r="A12" s="48" t="s">
        <v>52</v>
      </c>
      <c r="B12" s="48"/>
      <c r="C12" s="48"/>
      <c r="D12" s="48"/>
      <c r="E12" s="48"/>
      <c r="F12" s="48"/>
      <c r="G12" s="48"/>
      <c r="H12" s="48"/>
      <c r="I12" s="48"/>
    </row>
    <row r="13" spans="1:15" s="6" customFormat="1" ht="18.75" x14ac:dyDescent="0.25">
      <c r="A13" s="65" t="s">
        <v>45</v>
      </c>
      <c r="C13" s="14" t="s">
        <v>24</v>
      </c>
      <c r="G13" s="52"/>
      <c r="H13" s="53"/>
    </row>
    <row r="14" spans="1:15" s="6" customFormat="1" ht="18.75" x14ac:dyDescent="0.25">
      <c r="A14" s="2" t="s">
        <v>25</v>
      </c>
      <c r="C14" s="6" t="s">
        <v>112</v>
      </c>
      <c r="G14" s="52"/>
      <c r="H14" s="53"/>
    </row>
    <row r="15" spans="1:15" s="14" customFormat="1" ht="15.75" x14ac:dyDescent="0.2">
      <c r="A15" s="2" t="s">
        <v>46</v>
      </c>
      <c r="C15" s="6" t="s">
        <v>79</v>
      </c>
    </row>
    <row r="16" spans="1:15" s="6" customFormat="1" ht="4.5" customHeight="1" x14ac:dyDescent="0.25">
      <c r="B16" s="5"/>
      <c r="C16" s="5"/>
      <c r="D16" s="5"/>
      <c r="E16" s="17"/>
      <c r="F16" s="17"/>
      <c r="G16" s="17"/>
      <c r="H16" s="17"/>
      <c r="I16" s="17"/>
    </row>
    <row r="17" spans="1:9" s="8" customFormat="1" ht="18" x14ac:dyDescent="0.25">
      <c r="A17" s="48" t="s">
        <v>16</v>
      </c>
      <c r="B17" s="48"/>
      <c r="C17" s="48"/>
      <c r="D17" s="48"/>
      <c r="E17" s="48"/>
      <c r="F17" s="48"/>
      <c r="G17" s="48"/>
      <c r="H17" s="48"/>
      <c r="I17" s="48"/>
    </row>
    <row r="18" spans="1:9" s="6" customFormat="1" ht="15.75" x14ac:dyDescent="0.25">
      <c r="A18" s="2" t="s">
        <v>14</v>
      </c>
      <c r="C18" s="81" t="s">
        <v>97</v>
      </c>
      <c r="D18" s="81"/>
      <c r="E18" s="51"/>
    </row>
    <row r="19" spans="1:9" s="6" customFormat="1" ht="15.75" x14ac:dyDescent="0.25">
      <c r="A19" s="2" t="s">
        <v>15</v>
      </c>
      <c r="C19" s="145" t="s">
        <v>98</v>
      </c>
      <c r="D19" s="54"/>
      <c r="E19" s="51"/>
    </row>
    <row r="20" spans="1:9" s="6" customFormat="1" ht="15.75" x14ac:dyDescent="0.25">
      <c r="A20" s="2" t="s">
        <v>53</v>
      </c>
      <c r="C20" s="145">
        <v>17.5</v>
      </c>
      <c r="D20" s="54"/>
      <c r="E20" s="51"/>
    </row>
    <row r="21" spans="1:9" s="6" customFormat="1" ht="15.75" x14ac:dyDescent="0.25">
      <c r="A21" s="2" t="s">
        <v>54</v>
      </c>
      <c r="C21" s="145" t="s">
        <v>99</v>
      </c>
      <c r="D21" s="54"/>
      <c r="E21" s="51"/>
    </row>
    <row r="22" spans="1:9" s="6" customFormat="1" ht="15.75" x14ac:dyDescent="0.25">
      <c r="A22" s="2" t="s">
        <v>68</v>
      </c>
      <c r="C22" s="146" t="s">
        <v>190</v>
      </c>
      <c r="D22" s="66"/>
      <c r="E22" s="51"/>
    </row>
    <row r="23" spans="1:9" s="6" customFormat="1" ht="15.75" x14ac:dyDescent="0.25">
      <c r="A23" s="2" t="s">
        <v>69</v>
      </c>
      <c r="C23" s="146" t="s">
        <v>100</v>
      </c>
      <c r="D23" s="54"/>
      <c r="E23" s="51"/>
    </row>
    <row r="24" spans="1:9" s="6" customFormat="1" ht="15.75" x14ac:dyDescent="0.25">
      <c r="A24" s="2" t="s">
        <v>76</v>
      </c>
      <c r="C24" s="146" t="s">
        <v>101</v>
      </c>
      <c r="D24" s="54"/>
      <c r="E24" s="51"/>
    </row>
    <row r="25" spans="1:9" s="6" customFormat="1" ht="15" customHeight="1" x14ac:dyDescent="0.25">
      <c r="A25" s="2" t="s">
        <v>77</v>
      </c>
      <c r="C25" s="54">
        <v>5</v>
      </c>
    </row>
    <row r="26" spans="1:9" s="6" customFormat="1" ht="15" x14ac:dyDescent="0.25"/>
    <row r="27" spans="1:9" s="6" customFormat="1" ht="15.75" x14ac:dyDescent="0.25">
      <c r="A27" s="2" t="s">
        <v>102</v>
      </c>
      <c r="C27" s="81" t="s">
        <v>103</v>
      </c>
      <c r="E27" s="81"/>
      <c r="F27" s="82"/>
      <c r="G27" s="4"/>
      <c r="H27" s="4"/>
      <c r="I27" s="4"/>
    </row>
    <row r="28" spans="1:9" s="6" customFormat="1" ht="15.75" x14ac:dyDescent="0.25">
      <c r="A28" s="2"/>
      <c r="C28" s="81" t="s">
        <v>104</v>
      </c>
      <c r="E28" s="81"/>
      <c r="F28" s="82"/>
      <c r="G28" s="4"/>
      <c r="H28" s="4"/>
      <c r="I28" s="4"/>
    </row>
    <row r="29" spans="1:9" s="6" customFormat="1" ht="15.75" x14ac:dyDescent="0.25">
      <c r="A29" s="2"/>
      <c r="C29" s="51"/>
      <c r="E29" s="51"/>
      <c r="F29" s="4"/>
      <c r="G29" s="4"/>
      <c r="H29" s="4"/>
      <c r="I29" s="4"/>
    </row>
    <row r="30" spans="1:9" s="6" customFormat="1" ht="15.75" x14ac:dyDescent="0.25">
      <c r="A30" s="2" t="s">
        <v>55</v>
      </c>
      <c r="C30" s="51" t="s">
        <v>85</v>
      </c>
      <c r="E30" s="51"/>
      <c r="F30" s="4"/>
      <c r="G30" s="4"/>
      <c r="H30" s="4"/>
      <c r="I30" s="4"/>
    </row>
    <row r="31" spans="1:9" s="6" customFormat="1" ht="15" x14ac:dyDescent="0.25">
      <c r="C31" s="63" t="s">
        <v>82</v>
      </c>
      <c r="D31" s="51" t="s">
        <v>78</v>
      </c>
      <c r="F31" s="4"/>
      <c r="G31" s="4"/>
      <c r="H31" s="4"/>
      <c r="I31" s="4"/>
    </row>
    <row r="32" spans="1:9" s="6" customFormat="1" ht="15" x14ac:dyDescent="0.25">
      <c r="C32" s="63"/>
      <c r="D32" s="51"/>
      <c r="F32" s="4"/>
      <c r="G32" s="4"/>
      <c r="H32" s="4"/>
      <c r="I32" s="4"/>
    </row>
    <row r="33" spans="1:9" s="8" customFormat="1" ht="19.899999999999999" customHeight="1" x14ac:dyDescent="0.25">
      <c r="A33" s="48" t="s">
        <v>21</v>
      </c>
      <c r="B33" s="48"/>
      <c r="C33" s="48"/>
      <c r="D33" s="48"/>
      <c r="E33" s="48"/>
      <c r="F33" s="48"/>
      <c r="G33" s="48"/>
      <c r="H33" s="48"/>
      <c r="I33" s="48"/>
    </row>
    <row r="34" spans="1:9" s="6" customFormat="1" ht="25.5" customHeight="1" x14ac:dyDescent="0.25">
      <c r="A34" s="2" t="s">
        <v>27</v>
      </c>
      <c r="C34" s="2"/>
      <c r="D34" s="2"/>
      <c r="E34" s="2"/>
      <c r="F34" s="2"/>
      <c r="G34" s="2"/>
      <c r="H34" s="2"/>
      <c r="I34" s="2"/>
    </row>
    <row r="35" spans="1:9" s="6" customFormat="1" ht="51" customHeight="1" x14ac:dyDescent="0.25">
      <c r="A35" s="170" t="s">
        <v>83</v>
      </c>
      <c r="B35" s="170"/>
      <c r="C35" s="170"/>
      <c r="D35" s="170"/>
      <c r="E35" s="170"/>
      <c r="F35" s="170"/>
      <c r="G35" s="170"/>
      <c r="H35" s="170"/>
      <c r="I35" s="170"/>
    </row>
    <row r="36" spans="1:9" s="6" customFormat="1" ht="15.75" x14ac:dyDescent="0.25">
      <c r="A36" s="2" t="s">
        <v>28</v>
      </c>
      <c r="C36" s="2"/>
      <c r="D36" s="2"/>
      <c r="E36" s="2"/>
      <c r="F36" s="2"/>
      <c r="G36" s="2"/>
      <c r="H36" s="2"/>
      <c r="I36" s="2"/>
    </row>
    <row r="37" spans="1:9" s="6" customFormat="1" ht="65.25" customHeight="1" x14ac:dyDescent="0.25">
      <c r="A37" s="170" t="s">
        <v>191</v>
      </c>
      <c r="B37" s="170"/>
      <c r="C37" s="170"/>
      <c r="D37" s="170"/>
      <c r="E37" s="170"/>
      <c r="F37" s="170"/>
      <c r="G37" s="170"/>
      <c r="H37" s="170"/>
      <c r="I37" s="170"/>
    </row>
    <row r="38" spans="1:9" s="8" customFormat="1" ht="19.899999999999999" customHeight="1" x14ac:dyDescent="0.25">
      <c r="A38" s="48" t="s">
        <v>58</v>
      </c>
      <c r="B38" s="48"/>
      <c r="C38" s="48"/>
      <c r="D38" s="48"/>
      <c r="E38" s="48"/>
      <c r="F38" s="48"/>
      <c r="G38" s="48"/>
      <c r="H38" s="48"/>
      <c r="I38" s="48"/>
    </row>
    <row r="39" spans="1:9" s="55" customFormat="1" ht="4.9000000000000004" customHeight="1" x14ac:dyDescent="0.2">
      <c r="B39" s="6"/>
      <c r="C39" s="6"/>
      <c r="D39" s="6"/>
      <c r="E39" s="6"/>
      <c r="F39" s="6"/>
      <c r="G39" s="6"/>
      <c r="H39" s="6"/>
      <c r="I39" s="6"/>
    </row>
    <row r="40" spans="1:9" s="14" customFormat="1" ht="44.45" customHeight="1" x14ac:dyDescent="0.2">
      <c r="A40" s="171" t="s">
        <v>59</v>
      </c>
      <c r="B40" s="172"/>
      <c r="C40" s="18" t="s">
        <v>60</v>
      </c>
      <c r="D40" s="56" t="s">
        <v>1</v>
      </c>
      <c r="E40" s="18" t="s">
        <v>0</v>
      </c>
      <c r="F40" s="18" t="s">
        <v>61</v>
      </c>
      <c r="G40" s="18" t="s">
        <v>62</v>
      </c>
      <c r="H40" s="18" t="s">
        <v>2</v>
      </c>
    </row>
    <row r="41" spans="1:9" s="14" customFormat="1" ht="21" customHeight="1" x14ac:dyDescent="0.2">
      <c r="A41" s="75" t="s">
        <v>71</v>
      </c>
      <c r="B41" s="76"/>
      <c r="C41" s="70" t="s">
        <v>192</v>
      </c>
      <c r="D41" s="70" t="s">
        <v>193</v>
      </c>
      <c r="E41" s="71">
        <v>160869</v>
      </c>
      <c r="F41" s="72">
        <v>45629</v>
      </c>
      <c r="G41" s="73">
        <v>45994</v>
      </c>
      <c r="H41" s="72" t="s">
        <v>110</v>
      </c>
      <c r="I41" s="11"/>
    </row>
    <row r="42" spans="1:9" s="14" customFormat="1" ht="21" customHeight="1" x14ac:dyDescent="0.2">
      <c r="A42" s="75" t="s">
        <v>81</v>
      </c>
      <c r="B42" s="77"/>
      <c r="C42" s="70" t="s">
        <v>106</v>
      </c>
      <c r="D42" s="70" t="s">
        <v>107</v>
      </c>
      <c r="E42" s="71">
        <v>170081</v>
      </c>
      <c r="F42" s="72">
        <v>45793</v>
      </c>
      <c r="G42" s="73">
        <v>46157</v>
      </c>
      <c r="H42" s="72" t="s">
        <v>108</v>
      </c>
    </row>
    <row r="43" spans="1:9" s="14" customFormat="1" ht="21" customHeight="1" x14ac:dyDescent="0.2">
      <c r="A43" s="74" t="s">
        <v>72</v>
      </c>
      <c r="B43" s="77"/>
      <c r="C43" s="70" t="s">
        <v>187</v>
      </c>
      <c r="D43" s="70" t="s">
        <v>187</v>
      </c>
      <c r="E43" s="71">
        <v>32225</v>
      </c>
      <c r="F43" s="72">
        <v>44558</v>
      </c>
      <c r="G43" s="73">
        <v>46382</v>
      </c>
      <c r="H43" s="72" t="s">
        <v>109</v>
      </c>
    </row>
    <row r="44" spans="1:9" s="6" customFormat="1" ht="9.6" customHeight="1" x14ac:dyDescent="0.25">
      <c r="B44" s="5"/>
      <c r="C44" s="5"/>
      <c r="E44" s="15"/>
      <c r="F44" s="16"/>
      <c r="G44" s="16"/>
      <c r="H44" s="34"/>
      <c r="I44" s="34"/>
    </row>
    <row r="45" spans="1:9" s="6" customFormat="1" ht="9.6" customHeight="1" x14ac:dyDescent="0.25">
      <c r="B45" s="5"/>
      <c r="C45" s="5"/>
      <c r="E45" s="15"/>
      <c r="F45" s="16"/>
      <c r="G45" s="16"/>
      <c r="H45" s="34"/>
      <c r="I45" s="34"/>
    </row>
    <row r="46" spans="1:9" s="6" customFormat="1" ht="9.6" customHeight="1" x14ac:dyDescent="0.25">
      <c r="B46" s="5"/>
      <c r="C46" s="5"/>
      <c r="E46" s="15"/>
      <c r="F46" s="16"/>
      <c r="G46" s="16"/>
      <c r="H46" s="34"/>
      <c r="I46" s="34"/>
    </row>
    <row r="47" spans="1:9" s="6" customFormat="1" ht="15" x14ac:dyDescent="0.25">
      <c r="C47" s="63"/>
      <c r="D47" s="51"/>
      <c r="F47" s="4"/>
      <c r="G47" s="4"/>
      <c r="H47" s="4"/>
      <c r="I47" s="4"/>
    </row>
    <row r="48" spans="1:9" s="6" customFormat="1" ht="72.599999999999994" customHeight="1" x14ac:dyDescent="0.25">
      <c r="A48" s="169" t="s">
        <v>56</v>
      </c>
      <c r="B48" s="169"/>
      <c r="C48" s="169"/>
      <c r="D48" s="169"/>
      <c r="E48" s="169"/>
      <c r="F48" s="169"/>
      <c r="G48" s="169"/>
      <c r="H48" s="169"/>
      <c r="I48" s="169"/>
    </row>
    <row r="49" spans="5:21" s="6" customFormat="1" ht="15" x14ac:dyDescent="0.25">
      <c r="E49" s="51"/>
      <c r="F49" s="4"/>
      <c r="G49" s="4"/>
      <c r="H49" s="4"/>
      <c r="I49" s="59" t="s">
        <v>57</v>
      </c>
    </row>
    <row r="50" spans="5:21" x14ac:dyDescent="0.25">
      <c r="M50" s="10"/>
      <c r="N50" s="10"/>
      <c r="O50" s="10"/>
      <c r="P50" s="10"/>
      <c r="Q50" s="10"/>
      <c r="R50" s="10"/>
      <c r="S50" s="10"/>
      <c r="T50" s="10"/>
      <c r="U50" s="10"/>
    </row>
  </sheetData>
  <mergeCells count="8">
    <mergeCell ref="A48:I48"/>
    <mergeCell ref="A35:I35"/>
    <mergeCell ref="A37:I37"/>
    <mergeCell ref="A40:B40"/>
    <mergeCell ref="A1:A2"/>
    <mergeCell ref="B1:G2"/>
    <mergeCell ref="H1:I2"/>
    <mergeCell ref="A3:I3"/>
  </mergeCells>
  <dataValidations count="1">
    <dataValidation type="list" allowBlank="1" showInputMessage="1" showErrorMessage="1" sqref="H13:H14" xr:uid="{0B93FA3D-81E4-488C-BC06-96F591FB9781}">
      <formula1>#REF!</formula1>
    </dataValidation>
  </dataValidations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2102-4804&amp;R&amp;"Arial,Normal"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25.6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35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45967</v>
      </c>
      <c r="B28" s="150" t="s">
        <v>129</v>
      </c>
      <c r="C28" s="132" t="str">
        <f>A6</f>
        <v>4:1/1%</v>
      </c>
      <c r="D28" s="133">
        <v>5</v>
      </c>
      <c r="E28" s="89">
        <v>-5.0000000000000001E-3</v>
      </c>
      <c r="F28" s="90">
        <v>0.04</v>
      </c>
      <c r="G28" s="122">
        <f>E28-((B6-1)*100)</f>
        <v>-8.8330000000003683E-2</v>
      </c>
      <c r="H28" s="122">
        <f>F28+C6</f>
        <v>2.883</v>
      </c>
      <c r="I28" s="123">
        <f>1-(G28/100)</f>
        <v>1.0008833000000001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2.883</v>
      </c>
      <c r="N28" s="12">
        <f t="shared" ref="N28:N42" si="1">IFERROR(VLOOKUP($A$6,C28:I28,7,0),0)</f>
        <v>1.0008833000000001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45967</v>
      </c>
      <c r="B29" s="151" t="s">
        <v>129</v>
      </c>
      <c r="C29" s="134" t="str">
        <f t="shared" ref="C29" si="4">A7</f>
        <v>4:1/5%</v>
      </c>
      <c r="D29" s="135">
        <v>5</v>
      </c>
      <c r="E29" s="79">
        <v>-6.0000000000000001E-3</v>
      </c>
      <c r="F29" s="57">
        <v>0.17</v>
      </c>
      <c r="G29" s="124">
        <f t="shared" ref="G29" si="5">E29-((B7-1)*100)</f>
        <v>-7.3330000000009887E-2</v>
      </c>
      <c r="H29" s="124">
        <f t="shared" ref="H29" si="6">F29+C7</f>
        <v>1.827</v>
      </c>
      <c r="I29" s="125">
        <f t="shared" ref="I29:I30" si="7">1-(G29/100)</f>
        <v>1.0007333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1.827</v>
      </c>
      <c r="P29" s="12">
        <f t="shared" si="3"/>
        <v>1.0007333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45967</v>
      </c>
      <c r="B30" s="151" t="s">
        <v>129</v>
      </c>
      <c r="C30" s="134" t="str">
        <f>A9</f>
        <v>4:1/20%</v>
      </c>
      <c r="D30" s="135">
        <v>5</v>
      </c>
      <c r="E30" s="79">
        <v>-2.1999999999999999E-2</v>
      </c>
      <c r="F30" s="57">
        <v>0.48</v>
      </c>
      <c r="G30" s="124">
        <f>E30-((B9-1)*100)</f>
        <v>-7.1999999999994485E-2</v>
      </c>
      <c r="H30" s="124">
        <f>F30+C9</f>
        <v>1.2969999999999999</v>
      </c>
      <c r="I30" s="125">
        <f t="shared" si="7"/>
        <v>1.0007200000000001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1.2969999999999999</v>
      </c>
      <c r="R30" s="12">
        <f>IFERROR(VLOOKUP($A$9,C30:I30,7,0),IFERROR(VLOOKUP($A$12,C30:I30,7,0),IFERROR(VLOOKUP($A$14,C30:I30,7,0),0)))</f>
        <v>1.0007200000000001</v>
      </c>
    </row>
    <row r="31" spans="1:21" s="10" customFormat="1" ht="13.9" customHeight="1" x14ac:dyDescent="0.25">
      <c r="A31" s="163">
        <v>45967</v>
      </c>
      <c r="B31" s="151" t="s">
        <v>129</v>
      </c>
      <c r="C31" s="134" t="str">
        <f>A12</f>
        <v>4:1/100%</v>
      </c>
      <c r="D31" s="135">
        <v>5</v>
      </c>
      <c r="E31" s="79">
        <v>-8.9999999999999993E-3</v>
      </c>
      <c r="F31" s="57">
        <v>0.04</v>
      </c>
      <c r="G31" s="124">
        <f>E31-((B12-1)*100)</f>
        <v>-5.0000000000002147E-2</v>
      </c>
      <c r="H31" s="124">
        <f>F31+C12</f>
        <v>0.74</v>
      </c>
      <c r="I31" s="125">
        <f>1-(G31/100)</f>
        <v>1.0004999999999999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0.74</v>
      </c>
      <c r="R31" s="12">
        <f t="shared" ref="R31:R41" si="10">IFERROR(VLOOKUP($A$9,C31:I31,7,0),IFERROR(VLOOKUP($A$12,C31:I31,7,0),IFERROR(VLOOKUP($A$14,C31:I31,7,0),0)))</f>
        <v>1.0004999999999999</v>
      </c>
    </row>
    <row r="32" spans="1:21" s="10" customFormat="1" ht="13.9" customHeight="1" thickBot="1" x14ac:dyDescent="0.3">
      <c r="A32" s="165">
        <v>45967</v>
      </c>
      <c r="B32" s="166" t="s">
        <v>129</v>
      </c>
      <c r="C32" s="136" t="str">
        <f>A13</f>
        <v>4:1/120%</v>
      </c>
      <c r="D32" s="137">
        <v>5</v>
      </c>
      <c r="E32" s="119">
        <v>-8.9999999999999993E-3</v>
      </c>
      <c r="F32" s="120">
        <v>-0.05</v>
      </c>
      <c r="G32" s="126">
        <f>E32-((B13-1)*100)</f>
        <v>-4.9330000000010636E-2</v>
      </c>
      <c r="H32" s="126">
        <f>F32+C13</f>
        <v>0.6429999999999999</v>
      </c>
      <c r="I32" s="127">
        <f t="shared" ref="I32" si="11">1-(G32/100)</f>
        <v>1.0004933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0.6429999999999999</v>
      </c>
      <c r="R32" s="141">
        <f>I32</f>
        <v>1.0004933</v>
      </c>
    </row>
    <row r="33" spans="1:21" s="10" customFormat="1" ht="13.9" customHeight="1" thickTop="1" x14ac:dyDescent="0.25">
      <c r="A33" s="164">
        <v>45967</v>
      </c>
      <c r="B33" s="116" t="s">
        <v>130</v>
      </c>
      <c r="C33" s="138" t="str">
        <f>A6</f>
        <v>4:1/1%</v>
      </c>
      <c r="D33" s="138">
        <v>5</v>
      </c>
      <c r="E33" s="117">
        <v>2.7E-2</v>
      </c>
      <c r="F33" s="118">
        <v>-4.04</v>
      </c>
      <c r="G33" s="128">
        <f>E33-((B6-1)*100)</f>
        <v>-5.6330000000003683E-2</v>
      </c>
      <c r="H33" s="128">
        <f>F33+C6</f>
        <v>-1.1970000000000001</v>
      </c>
      <c r="I33" s="129">
        <f>1-(G33/100)</f>
        <v>1.0005633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-1.1970000000000001</v>
      </c>
      <c r="N33" s="12">
        <f t="shared" si="1"/>
        <v>1.0005633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45967</v>
      </c>
      <c r="B34" s="151" t="s">
        <v>130</v>
      </c>
      <c r="C34" s="135" t="str">
        <f>A7</f>
        <v>4:1/5%</v>
      </c>
      <c r="D34" s="135">
        <v>5</v>
      </c>
      <c r="E34" s="79">
        <v>2E-3</v>
      </c>
      <c r="F34" s="57">
        <v>-0.73</v>
      </c>
      <c r="G34" s="124">
        <f>E34-((B7-1)*100)</f>
        <v>-6.533000000000988E-2</v>
      </c>
      <c r="H34" s="124">
        <f>F34+C7</f>
        <v>0.92700000000000005</v>
      </c>
      <c r="I34" s="125">
        <f t="shared" ref="I34:I35" si="12">1-(G34/100)</f>
        <v>1.0006533000000002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0.92700000000000005</v>
      </c>
      <c r="P34" s="12">
        <f t="shared" si="3"/>
        <v>1.0006533000000002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45967</v>
      </c>
      <c r="B35" s="151" t="s">
        <v>130</v>
      </c>
      <c r="C35" s="135" t="str">
        <f>A9</f>
        <v>4:1/20%</v>
      </c>
      <c r="D35" s="135">
        <v>5</v>
      </c>
      <c r="E35" s="79">
        <v>2.1999999999999999E-2</v>
      </c>
      <c r="F35" s="57">
        <v>0.23</v>
      </c>
      <c r="G35" s="124">
        <f>E35-((B9-1)*100)</f>
        <v>-2.7999999999994495E-2</v>
      </c>
      <c r="H35" s="124">
        <f>F35+C9</f>
        <v>1.0469999999999999</v>
      </c>
      <c r="I35" s="125">
        <f t="shared" si="12"/>
        <v>1.0002799999999998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1.0469999999999999</v>
      </c>
      <c r="R35" s="12">
        <f t="shared" si="10"/>
        <v>1.0002799999999998</v>
      </c>
    </row>
    <row r="36" spans="1:21" s="10" customFormat="1" ht="13.9" customHeight="1" x14ac:dyDescent="0.25">
      <c r="A36" s="163">
        <v>45967</v>
      </c>
      <c r="B36" s="151" t="s">
        <v>130</v>
      </c>
      <c r="C36" s="135" t="str">
        <f>A12</f>
        <v>4:1/100%</v>
      </c>
      <c r="D36" s="135">
        <v>5</v>
      </c>
      <c r="E36" s="79">
        <v>-3.0000000000000001E-3</v>
      </c>
      <c r="F36" s="57">
        <v>7.0000000000000007E-2</v>
      </c>
      <c r="G36" s="124">
        <f>E36-((B12-1)*100)</f>
        <v>-4.4000000000002149E-2</v>
      </c>
      <c r="H36" s="124">
        <f>F36+C12</f>
        <v>0.77</v>
      </c>
      <c r="I36" s="125">
        <f>1-(G36/100)</f>
        <v>1.00044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0.77</v>
      </c>
      <c r="R36" s="12">
        <f t="shared" si="10"/>
        <v>1.00044</v>
      </c>
    </row>
    <row r="37" spans="1:21" s="10" customFormat="1" ht="13.9" customHeight="1" thickBot="1" x14ac:dyDescent="0.3">
      <c r="A37" s="165">
        <v>45967</v>
      </c>
      <c r="B37" s="166" t="s">
        <v>130</v>
      </c>
      <c r="C37" s="137" t="str">
        <f>A13</f>
        <v>4:1/120%</v>
      </c>
      <c r="D37" s="137">
        <v>5</v>
      </c>
      <c r="E37" s="119">
        <v>-5.0000000000000001E-3</v>
      </c>
      <c r="F37" s="120">
        <v>0.05</v>
      </c>
      <c r="G37" s="126">
        <f>E37-((B13-1)*100)</f>
        <v>-4.5330000000010633E-2</v>
      </c>
      <c r="H37" s="126">
        <f>F37+C13</f>
        <v>0.74299999999999999</v>
      </c>
      <c r="I37" s="127">
        <f t="shared" ref="I37" si="13">1-(G37/100)</f>
        <v>1.0004533000000002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0.74299999999999999</v>
      </c>
      <c r="R37" s="141">
        <f>I37</f>
        <v>1.0004533000000002</v>
      </c>
    </row>
    <row r="38" spans="1:21" s="10" customFormat="1" ht="13.9" customHeight="1" thickTop="1" x14ac:dyDescent="0.25">
      <c r="A38" s="164">
        <v>45967</v>
      </c>
      <c r="B38" s="116" t="s">
        <v>131</v>
      </c>
      <c r="C38" s="138" t="str">
        <f>A6</f>
        <v>4:1/1%</v>
      </c>
      <c r="D38" s="138">
        <v>5</v>
      </c>
      <c r="E38" s="117">
        <v>1.7000000000000001E-2</v>
      </c>
      <c r="F38" s="118">
        <v>-2.2000000000000002</v>
      </c>
      <c r="G38" s="128">
        <f>E38-((B6-1)*100)</f>
        <v>-6.6330000000003678E-2</v>
      </c>
      <c r="H38" s="128">
        <f>F38+C6</f>
        <v>0.64299999999999979</v>
      </c>
      <c r="I38" s="129">
        <f>1-(G38/100)</f>
        <v>1.0006633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0.64299999999999979</v>
      </c>
      <c r="N38" s="12">
        <f t="shared" si="1"/>
        <v>1.0006633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45967</v>
      </c>
      <c r="B39" s="151" t="s">
        <v>131</v>
      </c>
      <c r="C39" s="135" t="str">
        <f>A7</f>
        <v>4:1/5%</v>
      </c>
      <c r="D39" s="135">
        <v>5</v>
      </c>
      <c r="E39" s="79">
        <v>5.0000000000000001E-3</v>
      </c>
      <c r="F39" s="57">
        <v>-0.55000000000000004</v>
      </c>
      <c r="G39" s="124">
        <f>E39-((B7-1)*100)</f>
        <v>-6.2330000000009884E-2</v>
      </c>
      <c r="H39" s="124">
        <f>F39+C7</f>
        <v>1.107</v>
      </c>
      <c r="I39" s="125">
        <f t="shared" ref="I39:I40" si="14">1-(G39/100)</f>
        <v>1.0006233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1.107</v>
      </c>
      <c r="P39" s="12">
        <f t="shared" si="3"/>
        <v>1.0006233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45967</v>
      </c>
      <c r="B40" s="151" t="s">
        <v>131</v>
      </c>
      <c r="C40" s="135" t="str">
        <f>A9</f>
        <v>4:1/20%</v>
      </c>
      <c r="D40" s="135">
        <v>5</v>
      </c>
      <c r="E40" s="79">
        <v>-1.4E-2</v>
      </c>
      <c r="F40" s="57">
        <v>0.35</v>
      </c>
      <c r="G40" s="124">
        <f>E40-((B9-1)*100)</f>
        <v>-6.3999999999994492E-2</v>
      </c>
      <c r="H40" s="124">
        <f>F40+C9</f>
        <v>1.1669999999999998</v>
      </c>
      <c r="I40" s="125">
        <f t="shared" si="14"/>
        <v>1.00064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1.1669999999999998</v>
      </c>
      <c r="R40" s="12">
        <f t="shared" si="10"/>
        <v>1.00064</v>
      </c>
    </row>
    <row r="41" spans="1:21" s="10" customFormat="1" ht="13.9" customHeight="1" x14ac:dyDescent="0.25">
      <c r="A41" s="163">
        <v>45967</v>
      </c>
      <c r="B41" s="151" t="s">
        <v>131</v>
      </c>
      <c r="C41" s="135" t="str">
        <f>A12</f>
        <v>4:1/100%</v>
      </c>
      <c r="D41" s="135">
        <v>5</v>
      </c>
      <c r="E41" s="79">
        <v>-3.0000000000000001E-3</v>
      </c>
      <c r="F41" s="57">
        <v>0.28999999999999998</v>
      </c>
      <c r="G41" s="124">
        <f>E41-((B12-1)*100)</f>
        <v>-4.4000000000002149E-2</v>
      </c>
      <c r="H41" s="124">
        <f>F41+C12</f>
        <v>0.99</v>
      </c>
      <c r="I41" s="125">
        <f>1-(G41/100)</f>
        <v>1.00044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0.99</v>
      </c>
      <c r="R41" s="12">
        <f t="shared" si="10"/>
        <v>1.00044</v>
      </c>
    </row>
    <row r="42" spans="1:21" s="10" customFormat="1" ht="13.9" customHeight="1" thickBot="1" x14ac:dyDescent="0.3">
      <c r="A42" s="167">
        <v>45967</v>
      </c>
      <c r="B42" s="168" t="s">
        <v>131</v>
      </c>
      <c r="C42" s="139" t="str">
        <f>A13</f>
        <v>4:1/120%</v>
      </c>
      <c r="D42" s="139">
        <v>5</v>
      </c>
      <c r="E42" s="80">
        <v>-8.9999999999999993E-3</v>
      </c>
      <c r="F42" s="78">
        <v>0.57999999999999996</v>
      </c>
      <c r="G42" s="130">
        <f>E42-((B13-1)*100)</f>
        <v>-4.9330000000010636E-2</v>
      </c>
      <c r="H42" s="130">
        <f>F42+C13</f>
        <v>1.2729999999999999</v>
      </c>
      <c r="I42" s="131">
        <f t="shared" ref="I42" si="16">1-(G42/100)</f>
        <v>1.0004933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1.2729999999999999</v>
      </c>
      <c r="R42" s="141">
        <f>I42</f>
        <v>1.0004933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A1:I1"/>
    <mergeCell ref="A4:C4"/>
    <mergeCell ref="M6:M7"/>
    <mergeCell ref="A18:C18"/>
    <mergeCell ref="O6:O7"/>
    <mergeCell ref="M9:M10"/>
    <mergeCell ref="N9:N10"/>
    <mergeCell ref="O9:O10"/>
    <mergeCell ref="M12:M13"/>
    <mergeCell ref="N12:N13"/>
    <mergeCell ref="O12:O13"/>
    <mergeCell ref="N6:N7"/>
  </mergeCells>
  <conditionalFormatting sqref="G28:H42">
    <cfRule type="cellIs" dxfId="19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workbookViewId="0">
      <selection activeCell="F5" sqref="F5"/>
    </sheetView>
  </sheetViews>
  <sheetFormatPr defaultRowHeight="15" x14ac:dyDescent="0.25"/>
  <sheetData>
    <row r="1" spans="1:19" ht="15.6" x14ac:dyDescent="0.3">
      <c r="A1" s="2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212" t="s">
        <v>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</row>
    <row r="3" spans="1:19" ht="15.6" x14ac:dyDescent="0.3">
      <c r="A3" s="6"/>
      <c r="B3" s="3"/>
      <c r="C3" s="6"/>
      <c r="D3" s="6"/>
      <c r="E3" s="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6" x14ac:dyDescent="0.3">
      <c r="A4" s="2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6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6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170" t="s">
        <v>8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</row>
    <row r="12" spans="1:19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6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75" x14ac:dyDescent="0.25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x14ac:dyDescent="0.25">
      <c r="A16" s="2" t="s">
        <v>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97.9" customHeight="1" x14ac:dyDescent="0.25">
      <c r="A17" s="213" t="s">
        <v>22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</row>
    <row r="18" spans="1:1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75" x14ac:dyDescent="0.25">
      <c r="A19" s="2" t="s">
        <v>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6" t="s">
        <v>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213" t="s">
        <v>10</v>
      </c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</row>
    <row r="22" spans="1:19" x14ac:dyDescent="0.25">
      <c r="A22" s="213" t="s">
        <v>11</v>
      </c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</row>
    <row r="25" spans="1:19" x14ac:dyDescent="0.25">
      <c r="A25" t="s">
        <v>80</v>
      </c>
    </row>
  </sheetData>
  <mergeCells count="5">
    <mergeCell ref="A2:S2"/>
    <mergeCell ref="A11:S11"/>
    <mergeCell ref="A22:S22"/>
    <mergeCell ref="A17:S17"/>
    <mergeCell ref="A21:S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E8B1-A6CC-4CCB-AD96-3A4B7D6777B8}">
  <dimension ref="A1:U43"/>
  <sheetViews>
    <sheetView showGridLines="0" view="pageBreakPreview" topLeftCell="A13" zoomScaleNormal="115" zoomScaleSheetLayoutView="100" workbookViewId="0">
      <selection activeCell="F33" sqref="F3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29.4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45964</v>
      </c>
      <c r="B28" s="150" t="s">
        <v>117</v>
      </c>
      <c r="C28" s="132" t="str">
        <f>A6</f>
        <v>4:1/1%</v>
      </c>
      <c r="D28" s="133">
        <v>5</v>
      </c>
      <c r="E28" s="89">
        <v>1.4E-2</v>
      </c>
      <c r="F28" s="90">
        <v>-3.37</v>
      </c>
      <c r="G28" s="122">
        <f>E28-((B6-1)*100)</f>
        <v>-6.933000000000368E-2</v>
      </c>
      <c r="H28" s="122">
        <f>F28+C6</f>
        <v>-0.52700000000000014</v>
      </c>
      <c r="I28" s="123">
        <f>1-(G28/100)</f>
        <v>1.0006933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-0.52700000000000014</v>
      </c>
      <c r="N28" s="12">
        <f t="shared" ref="N28:N42" si="1">IFERROR(VLOOKUP($A$6,C28:I28,7,0),0)</f>
        <v>1.0006933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45964</v>
      </c>
      <c r="B29" s="151" t="s">
        <v>117</v>
      </c>
      <c r="C29" s="134" t="str">
        <f t="shared" ref="C29" si="4">A7</f>
        <v>4:1/5%</v>
      </c>
      <c r="D29" s="135">
        <v>5</v>
      </c>
      <c r="E29" s="79">
        <v>-3.0000000000000001E-3</v>
      </c>
      <c r="F29" s="57">
        <v>-0.36</v>
      </c>
      <c r="G29" s="124">
        <f t="shared" ref="G29" si="5">E29-((B7-1)*100)</f>
        <v>-7.0330000000009885E-2</v>
      </c>
      <c r="H29" s="124">
        <f t="shared" ref="H29" si="6">F29+C7</f>
        <v>1.2970000000000002</v>
      </c>
      <c r="I29" s="125">
        <f t="shared" ref="I29:I30" si="7">1-(G29/100)</f>
        <v>1.0007033000000001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1.2970000000000002</v>
      </c>
      <c r="P29" s="12">
        <f t="shared" si="3"/>
        <v>1.0007033000000001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45964</v>
      </c>
      <c r="B30" s="151" t="s">
        <v>117</v>
      </c>
      <c r="C30" s="134" t="str">
        <f>A9</f>
        <v>4:1/20%</v>
      </c>
      <c r="D30" s="135">
        <v>5</v>
      </c>
      <c r="E30" s="79">
        <v>1.9E-2</v>
      </c>
      <c r="F30" s="57">
        <v>0.24</v>
      </c>
      <c r="G30" s="124">
        <f>E30-((B9-1)*100)</f>
        <v>-3.0999999999994494E-2</v>
      </c>
      <c r="H30" s="124">
        <f>F30+C9</f>
        <v>1.0569999999999999</v>
      </c>
      <c r="I30" s="125">
        <f t="shared" si="7"/>
        <v>1.00031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1.0569999999999999</v>
      </c>
      <c r="R30" s="12">
        <f>IFERROR(VLOOKUP($A$9,C30:I30,7,0),IFERROR(VLOOKUP($A$12,C30:I30,7,0),IFERROR(VLOOKUP($A$14,C30:I30,7,0),0)))</f>
        <v>1.00031</v>
      </c>
    </row>
    <row r="31" spans="1:21" s="10" customFormat="1" ht="13.9" customHeight="1" x14ac:dyDescent="0.25">
      <c r="A31" s="163">
        <v>45964</v>
      </c>
      <c r="B31" s="151" t="s">
        <v>117</v>
      </c>
      <c r="C31" s="134" t="str">
        <f>A12</f>
        <v>4:1/100%</v>
      </c>
      <c r="D31" s="135">
        <v>5</v>
      </c>
      <c r="E31" s="79">
        <v>-7.0000000000000001E-3</v>
      </c>
      <c r="F31" s="57">
        <v>-0.08</v>
      </c>
      <c r="G31" s="124">
        <f>E31-((B12-1)*100)</f>
        <v>-4.8000000000002145E-2</v>
      </c>
      <c r="H31" s="124">
        <f>F31+C12</f>
        <v>0.62</v>
      </c>
      <c r="I31" s="125">
        <f>1-(G31/100)</f>
        <v>1.00048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0.62</v>
      </c>
      <c r="R31" s="12">
        <f t="shared" ref="R31:R41" si="10">IFERROR(VLOOKUP($A$9,C31:I31,7,0),IFERROR(VLOOKUP($A$12,C31:I31,7,0),IFERROR(VLOOKUP($A$14,C31:I31,7,0),0)))</f>
        <v>1.00048</v>
      </c>
    </row>
    <row r="32" spans="1:21" s="10" customFormat="1" ht="13.9" customHeight="1" thickBot="1" x14ac:dyDescent="0.3">
      <c r="A32" s="165">
        <v>45964</v>
      </c>
      <c r="B32" s="166" t="s">
        <v>117</v>
      </c>
      <c r="C32" s="136" t="str">
        <f>A13</f>
        <v>4:1/120%</v>
      </c>
      <c r="D32" s="137">
        <v>5</v>
      </c>
      <c r="E32" s="119">
        <v>-7.0000000000000001E-3</v>
      </c>
      <c r="F32" s="120">
        <v>-0.1</v>
      </c>
      <c r="G32" s="126">
        <f>E32-((B13-1)*100)</f>
        <v>-4.7330000000010634E-2</v>
      </c>
      <c r="H32" s="126">
        <f>F32+C13</f>
        <v>0.59299999999999997</v>
      </c>
      <c r="I32" s="127">
        <f t="shared" ref="I32" si="11">1-(G32/100)</f>
        <v>1.0004733000000001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0.59299999999999997</v>
      </c>
      <c r="R32" s="141">
        <f>I32</f>
        <v>1.0004733000000001</v>
      </c>
    </row>
    <row r="33" spans="1:21" s="10" customFormat="1" ht="13.9" customHeight="1" thickTop="1" x14ac:dyDescent="0.25">
      <c r="A33" s="164">
        <v>45964</v>
      </c>
      <c r="B33" s="116" t="s">
        <v>118</v>
      </c>
      <c r="C33" s="138" t="str">
        <f>A6</f>
        <v>4:1/1%</v>
      </c>
      <c r="D33" s="138">
        <v>5</v>
      </c>
      <c r="E33" s="117">
        <v>-1.4E-2</v>
      </c>
      <c r="F33" s="118">
        <v>-2.16</v>
      </c>
      <c r="G33" s="128">
        <f>E33-((B6-1)*100)</f>
        <v>-9.7330000000003677E-2</v>
      </c>
      <c r="H33" s="128">
        <f>F33+C6</f>
        <v>0.68299999999999983</v>
      </c>
      <c r="I33" s="129">
        <f>1-(G33/100)</f>
        <v>1.0009733000000001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0.68299999999999983</v>
      </c>
      <c r="N33" s="12">
        <f t="shared" si="1"/>
        <v>1.0009733000000001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45964</v>
      </c>
      <c r="B34" s="151" t="s">
        <v>118</v>
      </c>
      <c r="C34" s="135" t="str">
        <f>A7</f>
        <v>4:1/5%</v>
      </c>
      <c r="D34" s="135">
        <v>5</v>
      </c>
      <c r="E34" s="79">
        <v>-2.5000000000000001E-2</v>
      </c>
      <c r="F34" s="57">
        <v>0.34</v>
      </c>
      <c r="G34" s="124">
        <f>E34-((B7-1)*100)</f>
        <v>-9.2330000000009876E-2</v>
      </c>
      <c r="H34" s="124">
        <f>F34+C7</f>
        <v>1.9970000000000001</v>
      </c>
      <c r="I34" s="125">
        <f t="shared" ref="I34:I35" si="12">1-(G34/100)</f>
        <v>1.0009233000000002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1.9970000000000001</v>
      </c>
      <c r="P34" s="12">
        <f t="shared" si="3"/>
        <v>1.0009233000000002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45964</v>
      </c>
      <c r="B35" s="151" t="s">
        <v>118</v>
      </c>
      <c r="C35" s="135" t="str">
        <f>A9</f>
        <v>4:1/20%</v>
      </c>
      <c r="D35" s="135">
        <v>5</v>
      </c>
      <c r="E35" s="79">
        <v>-3.0000000000000001E-3</v>
      </c>
      <c r="F35" s="57">
        <v>0.64</v>
      </c>
      <c r="G35" s="124">
        <f>E35-((B9-1)*100)</f>
        <v>-5.2999999999994496E-2</v>
      </c>
      <c r="H35" s="124">
        <f>F35+C9</f>
        <v>1.4569999999999999</v>
      </c>
      <c r="I35" s="125">
        <f t="shared" si="12"/>
        <v>1.0005299999999999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1.4569999999999999</v>
      </c>
      <c r="R35" s="12">
        <f t="shared" si="10"/>
        <v>1.0005299999999999</v>
      </c>
    </row>
    <row r="36" spans="1:21" s="10" customFormat="1" ht="13.9" customHeight="1" x14ac:dyDescent="0.25">
      <c r="A36" s="163">
        <v>45964</v>
      </c>
      <c r="B36" s="151" t="s">
        <v>118</v>
      </c>
      <c r="C36" s="135" t="str">
        <f>A12</f>
        <v>4:1/100%</v>
      </c>
      <c r="D36" s="135">
        <v>5</v>
      </c>
      <c r="E36" s="79">
        <v>-1.7999999999999999E-2</v>
      </c>
      <c r="F36" s="57">
        <v>0.1</v>
      </c>
      <c r="G36" s="124">
        <f>E36-((B12-1)*100)</f>
        <v>-5.9000000000002148E-2</v>
      </c>
      <c r="H36" s="124">
        <f>F36+C12</f>
        <v>0.79999999999999993</v>
      </c>
      <c r="I36" s="125">
        <f>1-(G36/100)</f>
        <v>1.0005900000000001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0.79999999999999993</v>
      </c>
      <c r="R36" s="12">
        <f t="shared" si="10"/>
        <v>1.0005900000000001</v>
      </c>
    </row>
    <row r="37" spans="1:21" s="10" customFormat="1" ht="13.9" customHeight="1" thickBot="1" x14ac:dyDescent="0.3">
      <c r="A37" s="165">
        <v>45964</v>
      </c>
      <c r="B37" s="166" t="s">
        <v>118</v>
      </c>
      <c r="C37" s="137" t="str">
        <f>A13</f>
        <v>4:1/120%</v>
      </c>
      <c r="D37" s="137">
        <v>5</v>
      </c>
      <c r="E37" s="119">
        <v>-1.9E-2</v>
      </c>
      <c r="F37" s="120">
        <v>0.17</v>
      </c>
      <c r="G37" s="126">
        <f>E37-((B13-1)*100)</f>
        <v>-5.9330000000010638E-2</v>
      </c>
      <c r="H37" s="126">
        <f>F37+C13</f>
        <v>0.86299999999999999</v>
      </c>
      <c r="I37" s="127">
        <f t="shared" ref="I37" si="13">1-(G37/100)</f>
        <v>1.0005933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0.86299999999999999</v>
      </c>
      <c r="R37" s="141">
        <f>I37</f>
        <v>1.0005933</v>
      </c>
    </row>
    <row r="38" spans="1:21" s="10" customFormat="1" ht="13.9" customHeight="1" thickTop="1" x14ac:dyDescent="0.25">
      <c r="A38" s="164">
        <v>45964</v>
      </c>
      <c r="B38" s="116" t="s">
        <v>119</v>
      </c>
      <c r="C38" s="138" t="str">
        <f>A6</f>
        <v>4:1/1%</v>
      </c>
      <c r="D38" s="138">
        <v>5</v>
      </c>
      <c r="E38" s="117">
        <v>1.4E-2</v>
      </c>
      <c r="F38" s="118">
        <v>-1.37</v>
      </c>
      <c r="G38" s="128">
        <f>E38-((B6-1)*100)</f>
        <v>-6.933000000000368E-2</v>
      </c>
      <c r="H38" s="128">
        <f>F38+C6</f>
        <v>1.4729999999999999</v>
      </c>
      <c r="I38" s="129">
        <f>1-(G38/100)</f>
        <v>1.0006933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1.4729999999999999</v>
      </c>
      <c r="N38" s="12">
        <f t="shared" si="1"/>
        <v>1.0006933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45964</v>
      </c>
      <c r="B39" s="151" t="s">
        <v>119</v>
      </c>
      <c r="C39" s="135" t="str">
        <f>A7</f>
        <v>4:1/5%</v>
      </c>
      <c r="D39" s="135">
        <v>5</v>
      </c>
      <c r="E39" s="79">
        <v>5.0000000000000001E-3</v>
      </c>
      <c r="F39" s="57">
        <v>-0.43</v>
      </c>
      <c r="G39" s="124">
        <f>E39-((B7-1)*100)</f>
        <v>-6.2330000000009884E-2</v>
      </c>
      <c r="H39" s="124">
        <f>F39+C7</f>
        <v>1.2270000000000001</v>
      </c>
      <c r="I39" s="125">
        <f t="shared" ref="I39:I40" si="14">1-(G39/100)</f>
        <v>1.0006233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1.2270000000000001</v>
      </c>
      <c r="P39" s="12">
        <f t="shared" si="3"/>
        <v>1.0006233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45964</v>
      </c>
      <c r="B40" s="151" t="s">
        <v>119</v>
      </c>
      <c r="C40" s="135" t="str">
        <f>A9</f>
        <v>4:1/20%</v>
      </c>
      <c r="D40" s="135">
        <v>5</v>
      </c>
      <c r="E40" s="79">
        <v>-1.2999999999999999E-2</v>
      </c>
      <c r="F40" s="57">
        <v>0.33</v>
      </c>
      <c r="G40" s="124">
        <f>E40-((B9-1)*100)</f>
        <v>-6.2999999999994491E-2</v>
      </c>
      <c r="H40" s="124">
        <f>F40+C9</f>
        <v>1.147</v>
      </c>
      <c r="I40" s="125">
        <f t="shared" si="14"/>
        <v>1.0006299999999999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1.147</v>
      </c>
      <c r="R40" s="12">
        <f t="shared" si="10"/>
        <v>1.0006299999999999</v>
      </c>
    </row>
    <row r="41" spans="1:21" s="10" customFormat="1" ht="13.9" customHeight="1" x14ac:dyDescent="0.25">
      <c r="A41" s="163">
        <v>45964</v>
      </c>
      <c r="B41" s="151" t="s">
        <v>119</v>
      </c>
      <c r="C41" s="135" t="str">
        <f>A12</f>
        <v>4:1/100%</v>
      </c>
      <c r="D41" s="135">
        <v>5</v>
      </c>
      <c r="E41" s="79">
        <v>-0.02</v>
      </c>
      <c r="F41" s="57">
        <v>0.96</v>
      </c>
      <c r="G41" s="124">
        <f>E41-((B12-1)*100)</f>
        <v>-6.100000000000215E-2</v>
      </c>
      <c r="H41" s="124">
        <f>F41+C12</f>
        <v>1.66</v>
      </c>
      <c r="I41" s="125">
        <f>1-(G41/100)</f>
        <v>1.00061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1.66</v>
      </c>
      <c r="R41" s="12">
        <f t="shared" si="10"/>
        <v>1.00061</v>
      </c>
    </row>
    <row r="42" spans="1:21" s="10" customFormat="1" ht="13.9" customHeight="1" thickBot="1" x14ac:dyDescent="0.3">
      <c r="A42" s="167">
        <v>45964</v>
      </c>
      <c r="B42" s="168" t="s">
        <v>119</v>
      </c>
      <c r="C42" s="139" t="str">
        <f>A13</f>
        <v>4:1/120%</v>
      </c>
      <c r="D42" s="139">
        <v>5</v>
      </c>
      <c r="E42" s="80">
        <v>-4.2999999999999997E-2</v>
      </c>
      <c r="F42" s="78">
        <v>1.83</v>
      </c>
      <c r="G42" s="130">
        <f>E42-((B13-1)*100)</f>
        <v>-8.3330000000010632E-2</v>
      </c>
      <c r="H42" s="130">
        <f>F42+C13</f>
        <v>2.5230000000000001</v>
      </c>
      <c r="I42" s="131">
        <f t="shared" ref="I42" si="16">1-(G42/100)</f>
        <v>1.0008333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2.5230000000000001</v>
      </c>
      <c r="R42" s="141">
        <f>I42</f>
        <v>1.0008333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8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7EF7-CB09-4B90-A383-55C90EAB177E}">
  <sheetPr>
    <tabColor theme="0"/>
  </sheetPr>
  <dimension ref="A1:U43"/>
  <sheetViews>
    <sheetView showGridLines="0" view="pageBreakPreview" topLeftCell="A16" zoomScaleNormal="115" zoomScaleSheetLayoutView="100" workbookViewId="0">
      <selection activeCell="B6" sqref="B6:C14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21.5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36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132</v>
      </c>
      <c r="C28" s="132" t="str">
        <f>A6</f>
        <v>4:1/1%</v>
      </c>
      <c r="D28" s="133">
        <v>5</v>
      </c>
      <c r="E28" s="89"/>
      <c r="F28" s="90"/>
      <c r="G28" s="122">
        <f>E28-((B6-1)*100)</f>
        <v>-8.3330000000003679E-2</v>
      </c>
      <c r="H28" s="122">
        <f>F28+C6</f>
        <v>2.843</v>
      </c>
      <c r="I28" s="123">
        <f>1-(G28/100)</f>
        <v>1.0008333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2.843</v>
      </c>
      <c r="N28" s="12">
        <f t="shared" ref="N28:N42" si="1">IFERROR(VLOOKUP($A$6,C28:I28,7,0),0)</f>
        <v>1.0008333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132</v>
      </c>
      <c r="C29" s="134" t="str">
        <f t="shared" ref="C29" si="4">A7</f>
        <v>4:1/5%</v>
      </c>
      <c r="D29" s="135">
        <v>5</v>
      </c>
      <c r="E29" s="79"/>
      <c r="F29" s="57"/>
      <c r="G29" s="124">
        <f t="shared" ref="G29" si="5">E29-((B7-1)*100)</f>
        <v>-6.7330000000009882E-2</v>
      </c>
      <c r="H29" s="124">
        <f t="shared" ref="H29" si="6">F29+C7</f>
        <v>1.657</v>
      </c>
      <c r="I29" s="125">
        <f t="shared" ref="I29:I30" si="7">1-(G29/100)</f>
        <v>1.0006733000000001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1.657</v>
      </c>
      <c r="P29" s="12">
        <f t="shared" si="3"/>
        <v>1.0006733000000001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132</v>
      </c>
      <c r="C30" s="134" t="str">
        <f>A9</f>
        <v>4:1/20%</v>
      </c>
      <c r="D30" s="135">
        <v>5</v>
      </c>
      <c r="E30" s="79"/>
      <c r="F30" s="57"/>
      <c r="G30" s="124">
        <f>E30-((B9-1)*100)</f>
        <v>-4.9999999999994493E-2</v>
      </c>
      <c r="H30" s="124">
        <f>F30+C9</f>
        <v>0.81699999999999995</v>
      </c>
      <c r="I30" s="125">
        <f t="shared" si="7"/>
        <v>1.0004999999999999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0.81699999999999995</v>
      </c>
      <c r="R30" s="12">
        <f>IFERROR(VLOOKUP($A$9,C30:I30,7,0),IFERROR(VLOOKUP($A$12,C30:I30,7,0),IFERROR(VLOOKUP($A$14,C30:I30,7,0),0)))</f>
        <v>1.0004999999999999</v>
      </c>
    </row>
    <row r="31" spans="1:21" s="10" customFormat="1" ht="13.9" customHeight="1" x14ac:dyDescent="0.25">
      <c r="A31" s="163">
        <v>45957</v>
      </c>
      <c r="B31" s="151" t="s">
        <v>132</v>
      </c>
      <c r="C31" s="134" t="str">
        <f>A12</f>
        <v>4:1/100%</v>
      </c>
      <c r="D31" s="135">
        <v>5</v>
      </c>
      <c r="E31" s="79"/>
      <c r="F31" s="57"/>
      <c r="G31" s="124">
        <f>E31-((B12-1)*100)</f>
        <v>-4.1000000000002146E-2</v>
      </c>
      <c r="H31" s="124">
        <f>F31+C12</f>
        <v>0.7</v>
      </c>
      <c r="I31" s="125">
        <f>1-(G31/100)</f>
        <v>1.00041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</v>
      </c>
      <c r="R31" s="12">
        <f t="shared" ref="R31:R41" si="10">IFERROR(VLOOKUP($A$9,C31:I31,7,0),IFERROR(VLOOKUP($A$12,C31:I31,7,0),IFERROR(VLOOKUP($A$14,C31:I31,7,0),0)))</f>
        <v>1.00041</v>
      </c>
    </row>
    <row r="32" spans="1:21" s="10" customFormat="1" ht="13.9" customHeight="1" thickBot="1" x14ac:dyDescent="0.3">
      <c r="A32" s="165">
        <v>45957</v>
      </c>
      <c r="B32" s="166" t="s">
        <v>132</v>
      </c>
      <c r="C32" s="136" t="str">
        <f>A13</f>
        <v>4:1/120%</v>
      </c>
      <c r="D32" s="137">
        <v>5</v>
      </c>
      <c r="E32" s="119"/>
      <c r="F32" s="120"/>
      <c r="G32" s="126">
        <f>E32-((B13-1)*100)</f>
        <v>-4.0330000000010635E-2</v>
      </c>
      <c r="H32" s="126">
        <f>F32+C13</f>
        <v>0.69299999999999995</v>
      </c>
      <c r="I32" s="127">
        <f t="shared" ref="I32" si="11">1-(G32/100)</f>
        <v>1.0004033000000001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0.69299999999999995</v>
      </c>
      <c r="R32" s="141">
        <f>I32</f>
        <v>1.0004033000000001</v>
      </c>
    </row>
    <row r="33" spans="1:21" s="10" customFormat="1" ht="13.9" customHeight="1" thickTop="1" x14ac:dyDescent="0.25">
      <c r="A33" s="164">
        <v>45957</v>
      </c>
      <c r="B33" s="116" t="s">
        <v>133</v>
      </c>
      <c r="C33" s="138" t="str">
        <f>A6</f>
        <v>4:1/1%</v>
      </c>
      <c r="D33" s="138">
        <v>5</v>
      </c>
      <c r="E33" s="117"/>
      <c r="F33" s="118"/>
      <c r="G33" s="128">
        <f>E33-((B6-1)*100)</f>
        <v>-8.3330000000003679E-2</v>
      </c>
      <c r="H33" s="128">
        <f>F33+C6</f>
        <v>2.843</v>
      </c>
      <c r="I33" s="129">
        <f>1-(G33/100)</f>
        <v>1.0008333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2.843</v>
      </c>
      <c r="N33" s="12">
        <f t="shared" si="1"/>
        <v>1.0008333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133</v>
      </c>
      <c r="C34" s="135" t="str">
        <f>A7</f>
        <v>4:1/5%</v>
      </c>
      <c r="D34" s="135">
        <v>5</v>
      </c>
      <c r="E34" s="79"/>
      <c r="F34" s="57"/>
      <c r="G34" s="124">
        <f>E34-((B7-1)*100)</f>
        <v>-6.7330000000009882E-2</v>
      </c>
      <c r="H34" s="124">
        <f>F34+C7</f>
        <v>1.657</v>
      </c>
      <c r="I34" s="125">
        <f t="shared" ref="I34:I35" si="12">1-(G34/100)</f>
        <v>1.0006733000000001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1.657</v>
      </c>
      <c r="P34" s="12">
        <f t="shared" si="3"/>
        <v>1.0006733000000001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133</v>
      </c>
      <c r="C35" s="135" t="str">
        <f>A9</f>
        <v>4:1/20%</v>
      </c>
      <c r="D35" s="135">
        <v>5</v>
      </c>
      <c r="E35" s="79"/>
      <c r="F35" s="57"/>
      <c r="G35" s="124">
        <f>E35-((B9-1)*100)</f>
        <v>-4.9999999999994493E-2</v>
      </c>
      <c r="H35" s="124">
        <f>F35+C9</f>
        <v>0.81699999999999995</v>
      </c>
      <c r="I35" s="125">
        <f t="shared" si="12"/>
        <v>1.0004999999999999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0.81699999999999995</v>
      </c>
      <c r="R35" s="12">
        <f t="shared" si="10"/>
        <v>1.0004999999999999</v>
      </c>
    </row>
    <row r="36" spans="1:21" s="10" customFormat="1" ht="13.9" customHeight="1" x14ac:dyDescent="0.25">
      <c r="A36" s="163">
        <v>45957</v>
      </c>
      <c r="B36" s="151" t="s">
        <v>133</v>
      </c>
      <c r="C36" s="135" t="str">
        <f>A12</f>
        <v>4:1/100%</v>
      </c>
      <c r="D36" s="135">
        <v>5</v>
      </c>
      <c r="E36" s="79"/>
      <c r="F36" s="57"/>
      <c r="G36" s="124">
        <f>E36-((B12-1)*100)</f>
        <v>-4.1000000000002146E-2</v>
      </c>
      <c r="H36" s="124">
        <f>F36+C12</f>
        <v>0.7</v>
      </c>
      <c r="I36" s="125">
        <f>1-(G36/100)</f>
        <v>1.00041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</v>
      </c>
      <c r="R36" s="12">
        <f t="shared" si="10"/>
        <v>1.00041</v>
      </c>
    </row>
    <row r="37" spans="1:21" s="10" customFormat="1" ht="13.9" customHeight="1" thickBot="1" x14ac:dyDescent="0.3">
      <c r="A37" s="165">
        <v>45957</v>
      </c>
      <c r="B37" s="166" t="s">
        <v>133</v>
      </c>
      <c r="C37" s="137" t="str">
        <f>A13</f>
        <v>4:1/120%</v>
      </c>
      <c r="D37" s="137">
        <v>5</v>
      </c>
      <c r="E37" s="119"/>
      <c r="F37" s="120"/>
      <c r="G37" s="126">
        <f>E37-((B13-1)*100)</f>
        <v>-4.0330000000010635E-2</v>
      </c>
      <c r="H37" s="126">
        <f>F37+C13</f>
        <v>0.69299999999999995</v>
      </c>
      <c r="I37" s="127">
        <f t="shared" ref="I37" si="13">1-(G37/100)</f>
        <v>1.0004033000000001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0.69299999999999995</v>
      </c>
      <c r="R37" s="141">
        <f>I37</f>
        <v>1.0004033000000001</v>
      </c>
    </row>
    <row r="38" spans="1:21" s="10" customFormat="1" ht="13.9" customHeight="1" thickTop="1" x14ac:dyDescent="0.25">
      <c r="A38" s="164">
        <v>45957</v>
      </c>
      <c r="B38" s="116" t="s">
        <v>134</v>
      </c>
      <c r="C38" s="138" t="str">
        <f>A6</f>
        <v>4:1/1%</v>
      </c>
      <c r="D38" s="138">
        <v>5</v>
      </c>
      <c r="E38" s="117"/>
      <c r="F38" s="118"/>
      <c r="G38" s="128">
        <f>E38-((B6-1)*100)</f>
        <v>-8.3330000000003679E-2</v>
      </c>
      <c r="H38" s="128">
        <f>F38+C6</f>
        <v>2.843</v>
      </c>
      <c r="I38" s="129">
        <f>1-(G38/100)</f>
        <v>1.0008333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2.843</v>
      </c>
      <c r="N38" s="12">
        <f t="shared" si="1"/>
        <v>1.0008333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134</v>
      </c>
      <c r="C39" s="135" t="str">
        <f>A7</f>
        <v>4:1/5%</v>
      </c>
      <c r="D39" s="135">
        <v>5</v>
      </c>
      <c r="E39" s="79"/>
      <c r="F39" s="57"/>
      <c r="G39" s="124">
        <f>E39-((B7-1)*100)</f>
        <v>-6.7330000000009882E-2</v>
      </c>
      <c r="H39" s="124">
        <f>F39+C7</f>
        <v>1.657</v>
      </c>
      <c r="I39" s="125">
        <f t="shared" ref="I39:I40" si="14">1-(G39/100)</f>
        <v>1.0006733000000001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1.657</v>
      </c>
      <c r="P39" s="12">
        <f t="shared" si="3"/>
        <v>1.0006733000000001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134</v>
      </c>
      <c r="C40" s="135" t="str">
        <f>A9</f>
        <v>4:1/20%</v>
      </c>
      <c r="D40" s="135">
        <v>5</v>
      </c>
      <c r="E40" s="79"/>
      <c r="F40" s="57"/>
      <c r="G40" s="124">
        <f>E40-((B9-1)*100)</f>
        <v>-4.9999999999994493E-2</v>
      </c>
      <c r="H40" s="124">
        <f>F40+C9</f>
        <v>0.81699999999999995</v>
      </c>
      <c r="I40" s="125">
        <f t="shared" si="14"/>
        <v>1.0004999999999999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0.81699999999999995</v>
      </c>
      <c r="R40" s="12">
        <f t="shared" si="10"/>
        <v>1.0004999999999999</v>
      </c>
    </row>
    <row r="41" spans="1:21" s="10" customFormat="1" ht="13.9" customHeight="1" x14ac:dyDescent="0.25">
      <c r="A41" s="163">
        <v>45957</v>
      </c>
      <c r="B41" s="151" t="s">
        <v>134</v>
      </c>
      <c r="C41" s="135" t="str">
        <f>A12</f>
        <v>4:1/100%</v>
      </c>
      <c r="D41" s="135">
        <v>5</v>
      </c>
      <c r="E41" s="79"/>
      <c r="F41" s="57"/>
      <c r="G41" s="124">
        <f>E41-((B12-1)*100)</f>
        <v>-4.1000000000002146E-2</v>
      </c>
      <c r="H41" s="124">
        <f>F41+C12</f>
        <v>0.7</v>
      </c>
      <c r="I41" s="125">
        <f>1-(G41/100)</f>
        <v>1.00041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0.7</v>
      </c>
      <c r="R41" s="12">
        <f t="shared" si="10"/>
        <v>1.00041</v>
      </c>
    </row>
    <row r="42" spans="1:21" s="10" customFormat="1" ht="13.9" customHeight="1" thickBot="1" x14ac:dyDescent="0.3">
      <c r="A42" s="167">
        <v>45957</v>
      </c>
      <c r="B42" s="168" t="s">
        <v>134</v>
      </c>
      <c r="C42" s="139" t="str">
        <f>A13</f>
        <v>4:1/120%</v>
      </c>
      <c r="D42" s="139">
        <v>5</v>
      </c>
      <c r="E42" s="80"/>
      <c r="F42" s="78"/>
      <c r="G42" s="130">
        <f>E42-((B13-1)*100)</f>
        <v>-4.0330000000010635E-2</v>
      </c>
      <c r="H42" s="130">
        <f>F42+C13</f>
        <v>0.69299999999999995</v>
      </c>
      <c r="I42" s="131">
        <f t="shared" ref="I42" si="16">1-(G42/100)</f>
        <v>1.0004033000000001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0.69299999999999995</v>
      </c>
      <c r="R42" s="141">
        <f>I42</f>
        <v>1.0004033000000001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7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5EC5-376A-425C-83AD-453BBBF715A1}">
  <dimension ref="A1:U43"/>
  <sheetViews>
    <sheetView showGridLines="0" view="pageBreakPreview" topLeftCell="A13" zoomScaleNormal="115" zoomScaleSheetLayoutView="100" workbookViewId="0">
      <selection activeCell="B14" sqref="B14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29.4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135</v>
      </c>
      <c r="C28" s="132" t="str">
        <f>A6</f>
        <v>4:1/1%</v>
      </c>
      <c r="D28" s="133">
        <v>5</v>
      </c>
      <c r="E28" s="89">
        <v>1.4999999999999999E-2</v>
      </c>
      <c r="F28" s="90">
        <v>-3.11</v>
      </c>
      <c r="G28" s="122">
        <f>E28-((B6-1)*100)</f>
        <v>-6.8330000000003679E-2</v>
      </c>
      <c r="H28" s="122">
        <f>F28+C6</f>
        <v>-0.2669999999999999</v>
      </c>
      <c r="I28" s="123">
        <f>1-(G28/100)</f>
        <v>1.0006832999999999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-0.2669999999999999</v>
      </c>
      <c r="N28" s="12">
        <f t="shared" ref="N28:N42" si="1">IFERROR(VLOOKUP($A$6,C28:I28,7,0),0)</f>
        <v>1.0006832999999999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135</v>
      </c>
      <c r="C29" s="134" t="str">
        <f t="shared" ref="C29" si="4">A7</f>
        <v>4:1/5%</v>
      </c>
      <c r="D29" s="135">
        <v>5</v>
      </c>
      <c r="E29" s="79">
        <v>-8.9999999999999993E-3</v>
      </c>
      <c r="F29" s="57">
        <v>0.19</v>
      </c>
      <c r="G29" s="124">
        <f t="shared" ref="G29" si="5">E29-((B7-1)*100)</f>
        <v>-7.6330000000009876E-2</v>
      </c>
      <c r="H29" s="124">
        <f t="shared" ref="H29" si="6">F29+C7</f>
        <v>1.847</v>
      </c>
      <c r="I29" s="125">
        <f t="shared" ref="I29:I30" si="7">1-(G29/100)</f>
        <v>1.0007633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1.847</v>
      </c>
      <c r="P29" s="12">
        <f t="shared" si="3"/>
        <v>1.0007633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135</v>
      </c>
      <c r="C30" s="134" t="str">
        <f>A9</f>
        <v>4:1/20%</v>
      </c>
      <c r="D30" s="135">
        <v>5</v>
      </c>
      <c r="E30" s="79">
        <v>-2.5999999999999999E-2</v>
      </c>
      <c r="F30" s="57">
        <v>0.55000000000000004</v>
      </c>
      <c r="G30" s="124">
        <f>E30-((B9-1)*100)</f>
        <v>-7.5999999999994489E-2</v>
      </c>
      <c r="H30" s="124">
        <f>F30+C9</f>
        <v>1.367</v>
      </c>
      <c r="I30" s="125">
        <f t="shared" si="7"/>
        <v>1.0007599999999999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1.367</v>
      </c>
      <c r="R30" s="12">
        <f>IFERROR(VLOOKUP($A$9,C30:I30,7,0),IFERROR(VLOOKUP($A$12,C30:I30,7,0),IFERROR(VLOOKUP($A$14,C30:I30,7,0),0)))</f>
        <v>1.0007599999999999</v>
      </c>
    </row>
    <row r="31" spans="1:21" s="10" customFormat="1" ht="13.9" customHeight="1" x14ac:dyDescent="0.25">
      <c r="A31" s="163">
        <v>45957</v>
      </c>
      <c r="B31" s="151" t="s">
        <v>135</v>
      </c>
      <c r="C31" s="134" t="str">
        <f>A12</f>
        <v>4:1/100%</v>
      </c>
      <c r="D31" s="135">
        <v>5</v>
      </c>
      <c r="E31" s="79">
        <v>-1.7999999999999999E-2</v>
      </c>
      <c r="F31" s="57">
        <v>0.05</v>
      </c>
      <c r="G31" s="124">
        <f>E31-((B12-1)*100)</f>
        <v>-5.9000000000002148E-2</v>
      </c>
      <c r="H31" s="124">
        <f>F31+C12</f>
        <v>0.75</v>
      </c>
      <c r="I31" s="125">
        <f>1-(G31/100)</f>
        <v>1.0005900000000001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0.75</v>
      </c>
      <c r="R31" s="12">
        <f t="shared" ref="R31:R41" si="10">IFERROR(VLOOKUP($A$9,C31:I31,7,0),IFERROR(VLOOKUP($A$12,C31:I31,7,0),IFERROR(VLOOKUP($A$14,C31:I31,7,0),0)))</f>
        <v>1.0005900000000001</v>
      </c>
    </row>
    <row r="32" spans="1:21" s="10" customFormat="1" ht="13.9" customHeight="1" thickBot="1" x14ac:dyDescent="0.3">
      <c r="A32" s="165">
        <v>45957</v>
      </c>
      <c r="B32" s="166" t="s">
        <v>135</v>
      </c>
      <c r="C32" s="136" t="str">
        <f>A13</f>
        <v>4:1/120%</v>
      </c>
      <c r="D32" s="137">
        <v>5</v>
      </c>
      <c r="E32" s="119">
        <v>1.9E-2</v>
      </c>
      <c r="F32" s="120">
        <v>0.02</v>
      </c>
      <c r="G32" s="126">
        <f>E32-((B13-1)*100)</f>
        <v>-2.1330000000010636E-2</v>
      </c>
      <c r="H32" s="126">
        <f>F32+C13</f>
        <v>0.71299999999999997</v>
      </c>
      <c r="I32" s="127">
        <f t="shared" ref="I32" si="11">1-(G32/100)</f>
        <v>1.0002133000000002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0.71299999999999997</v>
      </c>
      <c r="R32" s="141">
        <f>I32</f>
        <v>1.0002133000000002</v>
      </c>
    </row>
    <row r="33" spans="1:21" s="10" customFormat="1" ht="13.9" customHeight="1" thickTop="1" x14ac:dyDescent="0.25">
      <c r="A33" s="164">
        <v>45957</v>
      </c>
      <c r="B33" s="116" t="s">
        <v>136</v>
      </c>
      <c r="C33" s="138" t="str">
        <f>A6</f>
        <v>4:1/1%</v>
      </c>
      <c r="D33" s="138">
        <v>5</v>
      </c>
      <c r="E33" s="117">
        <v>0.02</v>
      </c>
      <c r="F33" s="118">
        <v>-0.65</v>
      </c>
      <c r="G33" s="128">
        <f>E33-((B6-1)*100)</f>
        <v>-6.3330000000003675E-2</v>
      </c>
      <c r="H33" s="128">
        <f>F33+C6</f>
        <v>2.1930000000000001</v>
      </c>
      <c r="I33" s="129">
        <f>1-(G33/100)</f>
        <v>1.0006333000000001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2.1930000000000001</v>
      </c>
      <c r="N33" s="12">
        <f t="shared" si="1"/>
        <v>1.0006333000000001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136</v>
      </c>
      <c r="C34" s="135" t="str">
        <f>A7</f>
        <v>4:1/5%</v>
      </c>
      <c r="D34" s="135">
        <v>5</v>
      </c>
      <c r="E34" s="79">
        <v>-5.0000000000000001E-3</v>
      </c>
      <c r="F34" s="57">
        <v>-0.19</v>
      </c>
      <c r="G34" s="124">
        <f>E34-((B7-1)*100)</f>
        <v>-7.2330000000009886E-2</v>
      </c>
      <c r="H34" s="124">
        <f>F34+C7</f>
        <v>1.4670000000000001</v>
      </c>
      <c r="I34" s="125">
        <f t="shared" ref="I34:I35" si="12">1-(G34/100)</f>
        <v>1.0007233000000002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1.4670000000000001</v>
      </c>
      <c r="P34" s="12">
        <f t="shared" si="3"/>
        <v>1.0007233000000002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136</v>
      </c>
      <c r="C35" s="135" t="str">
        <f>A9</f>
        <v>4:1/20%</v>
      </c>
      <c r="D35" s="135">
        <v>5</v>
      </c>
      <c r="E35" s="79">
        <v>-5.0000000000000001E-3</v>
      </c>
      <c r="F35" s="57">
        <v>0.73</v>
      </c>
      <c r="G35" s="124">
        <f>E35-((B9-1)*100)</f>
        <v>-5.4999999999994491E-2</v>
      </c>
      <c r="H35" s="124">
        <f>F35+C9</f>
        <v>1.5469999999999999</v>
      </c>
      <c r="I35" s="125">
        <f t="shared" si="12"/>
        <v>1.0005500000000001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1.5469999999999999</v>
      </c>
      <c r="R35" s="12">
        <f t="shared" si="10"/>
        <v>1.0005500000000001</v>
      </c>
    </row>
    <row r="36" spans="1:21" s="10" customFormat="1" ht="13.9" customHeight="1" x14ac:dyDescent="0.25">
      <c r="A36" s="163">
        <v>45957</v>
      </c>
      <c r="B36" s="151" t="s">
        <v>136</v>
      </c>
      <c r="C36" s="135" t="str">
        <f>A12</f>
        <v>4:1/100%</v>
      </c>
      <c r="D36" s="135">
        <v>5</v>
      </c>
      <c r="E36" s="79">
        <v>-0.02</v>
      </c>
      <c r="F36" s="57">
        <v>0.16</v>
      </c>
      <c r="G36" s="124">
        <f>E36-((B12-1)*100)</f>
        <v>-6.100000000000215E-2</v>
      </c>
      <c r="H36" s="124">
        <f>F36+C12</f>
        <v>0.86</v>
      </c>
      <c r="I36" s="125">
        <f>1-(G36/100)</f>
        <v>1.00061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0.86</v>
      </c>
      <c r="R36" s="12">
        <f t="shared" si="10"/>
        <v>1.00061</v>
      </c>
    </row>
    <row r="37" spans="1:21" s="10" customFormat="1" ht="13.9" customHeight="1" thickBot="1" x14ac:dyDescent="0.3">
      <c r="A37" s="165">
        <v>45957</v>
      </c>
      <c r="B37" s="166" t="s">
        <v>136</v>
      </c>
      <c r="C37" s="137" t="str">
        <f>A13</f>
        <v>4:1/120%</v>
      </c>
      <c r="D37" s="137">
        <v>5</v>
      </c>
      <c r="E37" s="119">
        <v>-1.9E-2</v>
      </c>
      <c r="F37" s="120">
        <v>0.09</v>
      </c>
      <c r="G37" s="126">
        <f>E37-((B13-1)*100)</f>
        <v>-5.9330000000010638E-2</v>
      </c>
      <c r="H37" s="126">
        <f>F37+C13</f>
        <v>0.78299999999999992</v>
      </c>
      <c r="I37" s="127">
        <f t="shared" ref="I37" si="13">1-(G37/100)</f>
        <v>1.0005933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0.78299999999999992</v>
      </c>
      <c r="R37" s="141">
        <f>I37</f>
        <v>1.0005933</v>
      </c>
    </row>
    <row r="38" spans="1:21" s="10" customFormat="1" ht="13.9" customHeight="1" thickTop="1" x14ac:dyDescent="0.25">
      <c r="A38" s="164">
        <v>45957</v>
      </c>
      <c r="B38" s="116" t="s">
        <v>137</v>
      </c>
      <c r="C38" s="138" t="str">
        <f>A6</f>
        <v>4:1/1%</v>
      </c>
      <c r="D38" s="138">
        <v>5</v>
      </c>
      <c r="E38" s="117">
        <v>-2E-3</v>
      </c>
      <c r="F38" s="118">
        <v>-0.12</v>
      </c>
      <c r="G38" s="128">
        <f>E38-((B6-1)*100)</f>
        <v>-8.5330000000003681E-2</v>
      </c>
      <c r="H38" s="128">
        <f>F38+C6</f>
        <v>2.7229999999999999</v>
      </c>
      <c r="I38" s="129">
        <f>1-(G38/100)</f>
        <v>1.0008532999999999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2.7229999999999999</v>
      </c>
      <c r="N38" s="12">
        <f t="shared" si="1"/>
        <v>1.0008532999999999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137</v>
      </c>
      <c r="C39" s="135" t="str">
        <f>A7</f>
        <v>4:1/5%</v>
      </c>
      <c r="D39" s="135">
        <v>5</v>
      </c>
      <c r="E39" s="79">
        <v>-1.4E-2</v>
      </c>
      <c r="F39" s="57">
        <v>0.64</v>
      </c>
      <c r="G39" s="124">
        <f>E39-((B7-1)*100)</f>
        <v>-8.1330000000009881E-2</v>
      </c>
      <c r="H39" s="124">
        <f>F39+C7</f>
        <v>2.2970000000000002</v>
      </c>
      <c r="I39" s="125">
        <f t="shared" ref="I39:I40" si="14">1-(G39/100)</f>
        <v>1.0008133000000001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2.2970000000000002</v>
      </c>
      <c r="P39" s="12">
        <f t="shared" si="3"/>
        <v>1.0008133000000001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137</v>
      </c>
      <c r="C40" s="135" t="str">
        <f>A9</f>
        <v>4:1/20%</v>
      </c>
      <c r="D40" s="135">
        <v>5</v>
      </c>
      <c r="E40" s="79">
        <v>-3.5000000000000003E-2</v>
      </c>
      <c r="F40" s="57">
        <v>0.9</v>
      </c>
      <c r="G40" s="124">
        <f>E40-((B9-1)*100)</f>
        <v>-8.4999999999994497E-2</v>
      </c>
      <c r="H40" s="124">
        <f>F40+C9</f>
        <v>1.7170000000000001</v>
      </c>
      <c r="I40" s="125">
        <f t="shared" si="14"/>
        <v>1.00085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1.7170000000000001</v>
      </c>
      <c r="R40" s="12">
        <f t="shared" si="10"/>
        <v>1.00085</v>
      </c>
    </row>
    <row r="41" spans="1:21" s="10" customFormat="1" ht="13.9" customHeight="1" x14ac:dyDescent="0.25">
      <c r="A41" s="163">
        <v>45957</v>
      </c>
      <c r="B41" s="151" t="s">
        <v>137</v>
      </c>
      <c r="C41" s="135" t="str">
        <f>A12</f>
        <v>4:1/100%</v>
      </c>
      <c r="D41" s="135">
        <v>5</v>
      </c>
      <c r="E41" s="79">
        <v>-3.1E-2</v>
      </c>
      <c r="F41" s="57">
        <v>0.54</v>
      </c>
      <c r="G41" s="124">
        <f>E41-((B12-1)*100)</f>
        <v>-7.2000000000002146E-2</v>
      </c>
      <c r="H41" s="124">
        <f>F41+C12</f>
        <v>1.24</v>
      </c>
      <c r="I41" s="125">
        <f>1-(G41/100)</f>
        <v>1.0007200000000001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1.24</v>
      </c>
      <c r="R41" s="12">
        <f t="shared" si="10"/>
        <v>1.0007200000000001</v>
      </c>
    </row>
    <row r="42" spans="1:21" s="10" customFormat="1" ht="13.9" customHeight="1" thickBot="1" x14ac:dyDescent="0.3">
      <c r="A42" s="167">
        <v>45957</v>
      </c>
      <c r="B42" s="168" t="s">
        <v>137</v>
      </c>
      <c r="C42" s="139" t="str">
        <f>A13</f>
        <v>4:1/120%</v>
      </c>
      <c r="D42" s="139">
        <v>5</v>
      </c>
      <c r="E42" s="80">
        <v>-3.2000000000000001E-2</v>
      </c>
      <c r="F42" s="78">
        <v>0.96</v>
      </c>
      <c r="G42" s="130">
        <f>E42-((B13-1)*100)</f>
        <v>-7.2330000000010636E-2</v>
      </c>
      <c r="H42" s="130">
        <f>F42+C13</f>
        <v>1.653</v>
      </c>
      <c r="I42" s="131">
        <f t="shared" ref="I42" si="16">1-(G42/100)</f>
        <v>1.0007233000000002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1.653</v>
      </c>
      <c r="R42" s="141">
        <f>I42</f>
        <v>1.0007233000000002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6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F886-FDAE-41E2-BCD8-6BACA8339DB4}">
  <dimension ref="A1:U43"/>
  <sheetViews>
    <sheetView showGridLines="0" view="pageBreakPreview" topLeftCell="A6" zoomScaleNormal="115" zoomScaleSheetLayoutView="100" workbookViewId="0">
      <selection activeCell="B6" sqref="B6:C14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29.4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139</v>
      </c>
      <c r="C28" s="132" t="str">
        <f>A6</f>
        <v>4:1/1%</v>
      </c>
      <c r="D28" s="133">
        <v>5</v>
      </c>
      <c r="E28" s="89">
        <v>1.4E-2</v>
      </c>
      <c r="F28" s="90">
        <v>-1.37</v>
      </c>
      <c r="G28" s="122">
        <f>E28-((B6-1)*100)</f>
        <v>-6.933000000000368E-2</v>
      </c>
      <c r="H28" s="122">
        <f>F28+C6</f>
        <v>1.4729999999999999</v>
      </c>
      <c r="I28" s="123">
        <f>1-(G28/100)</f>
        <v>1.0006933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1.4729999999999999</v>
      </c>
      <c r="N28" s="12">
        <f t="shared" ref="N28:N42" si="1">IFERROR(VLOOKUP($A$6,C28:I28,7,0),0)</f>
        <v>1.0006933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139</v>
      </c>
      <c r="C29" s="134" t="str">
        <f t="shared" ref="C29" si="4">A7</f>
        <v>4:1/5%</v>
      </c>
      <c r="D29" s="135">
        <v>5</v>
      </c>
      <c r="E29" s="79">
        <v>1.2E-2</v>
      </c>
      <c r="F29" s="57">
        <v>-9.5000000000000001E-2</v>
      </c>
      <c r="G29" s="124">
        <f t="shared" ref="G29" si="5">E29-((B7-1)*100)</f>
        <v>-5.5330000000009885E-2</v>
      </c>
      <c r="H29" s="124">
        <f t="shared" ref="H29" si="6">F29+C7</f>
        <v>1.5620000000000001</v>
      </c>
      <c r="I29" s="125">
        <f t="shared" ref="I29:I30" si="7">1-(G29/100)</f>
        <v>1.0005533000000002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1.5620000000000001</v>
      </c>
      <c r="P29" s="12">
        <f t="shared" si="3"/>
        <v>1.0005533000000002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139</v>
      </c>
      <c r="C30" s="134" t="str">
        <f>A9</f>
        <v>4:1/20%</v>
      </c>
      <c r="D30" s="135">
        <v>5</v>
      </c>
      <c r="E30" s="79">
        <v>-7.0000000000000001E-3</v>
      </c>
      <c r="F30" s="57">
        <v>0.05</v>
      </c>
      <c r="G30" s="124">
        <f>E30-((B9-1)*100)</f>
        <v>-5.6999999999994493E-2</v>
      </c>
      <c r="H30" s="124">
        <f>F30+C9</f>
        <v>0.86699999999999999</v>
      </c>
      <c r="I30" s="125">
        <f t="shared" si="7"/>
        <v>1.00057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0.86699999999999999</v>
      </c>
      <c r="R30" s="12">
        <f>IFERROR(VLOOKUP($A$9,C30:I30,7,0),IFERROR(VLOOKUP($A$12,C30:I30,7,0),IFERROR(VLOOKUP($A$14,C30:I30,7,0),0)))</f>
        <v>1.00057</v>
      </c>
    </row>
    <row r="31" spans="1:21" s="10" customFormat="1" ht="13.9" customHeight="1" x14ac:dyDescent="0.25">
      <c r="A31" s="163">
        <v>45957</v>
      </c>
      <c r="B31" s="151" t="s">
        <v>139</v>
      </c>
      <c r="C31" s="134" t="str">
        <f>A12</f>
        <v>4:1/100%</v>
      </c>
      <c r="D31" s="135">
        <v>5</v>
      </c>
      <c r="E31" s="79">
        <v>-7.0000000000000001E-3</v>
      </c>
      <c r="F31" s="57">
        <v>-0.05</v>
      </c>
      <c r="G31" s="124">
        <f>E31-((B12-1)*100)</f>
        <v>-4.8000000000002145E-2</v>
      </c>
      <c r="H31" s="124">
        <f>F31+C12</f>
        <v>0.64999999999999991</v>
      </c>
      <c r="I31" s="125">
        <f>1-(G31/100)</f>
        <v>1.00048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0.64999999999999991</v>
      </c>
      <c r="R31" s="12">
        <f t="shared" ref="R31:R41" si="10">IFERROR(VLOOKUP($A$9,C31:I31,7,0),IFERROR(VLOOKUP($A$12,C31:I31,7,0),IFERROR(VLOOKUP($A$14,C31:I31,7,0),0)))</f>
        <v>1.00048</v>
      </c>
    </row>
    <row r="32" spans="1:21" s="10" customFormat="1" ht="13.9" customHeight="1" thickBot="1" x14ac:dyDescent="0.3">
      <c r="A32" s="165">
        <v>45957</v>
      </c>
      <c r="B32" s="166" t="s">
        <v>139</v>
      </c>
      <c r="C32" s="136" t="str">
        <f>A13</f>
        <v>4:1/120%</v>
      </c>
      <c r="D32" s="137">
        <v>5</v>
      </c>
      <c r="E32" s="119">
        <v>-7.0000000000000001E-3</v>
      </c>
      <c r="F32" s="120">
        <v>-8.9999999999999993E-3</v>
      </c>
      <c r="G32" s="126">
        <f>E32-((B13-1)*100)</f>
        <v>-4.7330000000010634E-2</v>
      </c>
      <c r="H32" s="126">
        <f>F32+C13</f>
        <v>0.68399999999999994</v>
      </c>
      <c r="I32" s="127">
        <f t="shared" ref="I32" si="11">1-(G32/100)</f>
        <v>1.0004733000000001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0.68399999999999994</v>
      </c>
      <c r="R32" s="141">
        <f>I32</f>
        <v>1.0004733000000001</v>
      </c>
    </row>
    <row r="33" spans="1:21" s="10" customFormat="1" ht="13.9" customHeight="1" thickTop="1" x14ac:dyDescent="0.25">
      <c r="A33" s="164">
        <v>45957</v>
      </c>
      <c r="B33" s="116" t="s">
        <v>140</v>
      </c>
      <c r="C33" s="138" t="str">
        <f>A6</f>
        <v>4:1/1%</v>
      </c>
      <c r="D33" s="138">
        <v>5</v>
      </c>
      <c r="E33" s="117">
        <v>3.3000000000000002E-2</v>
      </c>
      <c r="F33" s="118">
        <v>-4.3499999999999996</v>
      </c>
      <c r="G33" s="128">
        <f>E33-((B6-1)*100)</f>
        <v>-5.0330000000003677E-2</v>
      </c>
      <c r="H33" s="128">
        <f>F33+C6</f>
        <v>-1.5069999999999997</v>
      </c>
      <c r="I33" s="129">
        <f>1-(G33/100)</f>
        <v>1.0005033000000001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-1.5069999999999997</v>
      </c>
      <c r="N33" s="12">
        <f t="shared" si="1"/>
        <v>1.0005033000000001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140</v>
      </c>
      <c r="C34" s="135" t="str">
        <f>A7</f>
        <v>4:1/5%</v>
      </c>
      <c r="D34" s="135">
        <v>5</v>
      </c>
      <c r="E34" s="79">
        <v>8.9999999999999993E-3</v>
      </c>
      <c r="F34" s="57">
        <v>-0.94</v>
      </c>
      <c r="G34" s="124">
        <f>E34-((B7-1)*100)</f>
        <v>-5.8330000000009881E-2</v>
      </c>
      <c r="H34" s="124">
        <f>F34+C7</f>
        <v>0.71700000000000008</v>
      </c>
      <c r="I34" s="125">
        <f t="shared" ref="I34:I35" si="12">1-(G34/100)</f>
        <v>1.0005833000000002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0.71700000000000008</v>
      </c>
      <c r="P34" s="12">
        <f t="shared" si="3"/>
        <v>1.0005833000000002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140</v>
      </c>
      <c r="C35" s="135" t="str">
        <f>A9</f>
        <v>4:1/20%</v>
      </c>
      <c r="D35" s="135">
        <v>5</v>
      </c>
      <c r="E35" s="79">
        <v>-8.9999999999999993E-3</v>
      </c>
      <c r="F35" s="57">
        <v>0.01</v>
      </c>
      <c r="G35" s="124">
        <f>E35-((B9-1)*100)</f>
        <v>-5.8999999999994494E-2</v>
      </c>
      <c r="H35" s="124">
        <f>F35+C9</f>
        <v>0.82699999999999996</v>
      </c>
      <c r="I35" s="125">
        <f t="shared" si="12"/>
        <v>1.0005899999999999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0.82699999999999996</v>
      </c>
      <c r="R35" s="12">
        <f t="shared" si="10"/>
        <v>1.0005899999999999</v>
      </c>
    </row>
    <row r="36" spans="1:21" s="10" customFormat="1" ht="13.9" customHeight="1" x14ac:dyDescent="0.25">
      <c r="A36" s="163">
        <v>45957</v>
      </c>
      <c r="B36" s="151" t="s">
        <v>140</v>
      </c>
      <c r="C36" s="135" t="str">
        <f>A12</f>
        <v>4:1/100%</v>
      </c>
      <c r="D36" s="135">
        <v>5</v>
      </c>
      <c r="E36" s="79">
        <v>-0.105</v>
      </c>
      <c r="F36" s="57">
        <v>-5.8</v>
      </c>
      <c r="G36" s="124">
        <f>E36-((B12-1)*100)</f>
        <v>-0.14600000000000213</v>
      </c>
      <c r="H36" s="124">
        <f>F36+C12</f>
        <v>-5.0999999999999996</v>
      </c>
      <c r="I36" s="125">
        <f>1-(G36/100)</f>
        <v>1.00146</v>
      </c>
      <c r="J36" s="11" t="e">
        <f>IF(K36=1,26*(#REF!+ABS(G36)),26*(#REF!-ABS(G36)))</f>
        <v>#REF!</v>
      </c>
      <c r="K36" s="11">
        <f t="shared" si="8"/>
        <v>0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-5.0999999999999996</v>
      </c>
      <c r="R36" s="12">
        <f t="shared" si="10"/>
        <v>1.00146</v>
      </c>
    </row>
    <row r="37" spans="1:21" s="10" customFormat="1" ht="13.9" customHeight="1" thickBot="1" x14ac:dyDescent="0.3">
      <c r="A37" s="165">
        <v>45957</v>
      </c>
      <c r="B37" s="166" t="s">
        <v>140</v>
      </c>
      <c r="C37" s="137" t="str">
        <f>A13</f>
        <v>4:1/120%</v>
      </c>
      <c r="D37" s="137">
        <v>5</v>
      </c>
      <c r="E37" s="119">
        <v>-0.104</v>
      </c>
      <c r="F37" s="120">
        <v>-5.66</v>
      </c>
      <c r="G37" s="126">
        <f>E37-((B13-1)*100)</f>
        <v>-0.14433000000001062</v>
      </c>
      <c r="H37" s="126">
        <f>F37+C13</f>
        <v>-4.9670000000000005</v>
      </c>
      <c r="I37" s="127">
        <f t="shared" ref="I37" si="13">1-(G37/100)</f>
        <v>1.0014433</v>
      </c>
      <c r="J37" s="11" t="e">
        <f>IF(K37=1,26*(#REF!+ABS(G37)),26*(#REF!-ABS(G37)))</f>
        <v>#REF!</v>
      </c>
      <c r="K37" s="11">
        <f t="shared" si="8"/>
        <v>0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-4.9670000000000005</v>
      </c>
      <c r="R37" s="141">
        <f>I37</f>
        <v>1.0014433</v>
      </c>
    </row>
    <row r="38" spans="1:21" s="10" customFormat="1" ht="13.9" customHeight="1" thickTop="1" x14ac:dyDescent="0.25">
      <c r="A38" s="164">
        <v>45957</v>
      </c>
      <c r="B38" s="116" t="s">
        <v>141</v>
      </c>
      <c r="C38" s="138" t="str">
        <f>A6</f>
        <v>4:1/1%</v>
      </c>
      <c r="D38" s="138">
        <v>5</v>
      </c>
      <c r="E38" s="117">
        <v>1.7999999999999999E-2</v>
      </c>
      <c r="F38" s="118">
        <v>-1.98</v>
      </c>
      <c r="G38" s="128">
        <f>E38-((B6-1)*100)</f>
        <v>-6.5330000000003677E-2</v>
      </c>
      <c r="H38" s="128">
        <f>F38+C6</f>
        <v>0.86299999999999999</v>
      </c>
      <c r="I38" s="129">
        <f>1-(G38/100)</f>
        <v>1.0006533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0.86299999999999999</v>
      </c>
      <c r="N38" s="12">
        <f t="shared" si="1"/>
        <v>1.0006533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141</v>
      </c>
      <c r="C39" s="135" t="str">
        <f>A7</f>
        <v>4:1/5%</v>
      </c>
      <c r="D39" s="135">
        <v>5</v>
      </c>
      <c r="E39" s="79">
        <v>8.9999999999999993E-3</v>
      </c>
      <c r="F39" s="57">
        <v>-0.73</v>
      </c>
      <c r="G39" s="124">
        <f>E39-((B7-1)*100)</f>
        <v>-5.8330000000009881E-2</v>
      </c>
      <c r="H39" s="124">
        <f>F39+C7</f>
        <v>0.92700000000000005</v>
      </c>
      <c r="I39" s="125">
        <f t="shared" ref="I39:I40" si="14">1-(G39/100)</f>
        <v>1.0005833000000002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0.92700000000000005</v>
      </c>
      <c r="P39" s="12">
        <f t="shared" si="3"/>
        <v>1.0005833000000002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141</v>
      </c>
      <c r="C40" s="135" t="str">
        <f>A9</f>
        <v>4:1/20%</v>
      </c>
      <c r="D40" s="135">
        <v>5</v>
      </c>
      <c r="E40" s="79">
        <v>-8.0000000000000002E-3</v>
      </c>
      <c r="F40" s="57">
        <v>0.15</v>
      </c>
      <c r="G40" s="124">
        <f>E40-((B9-1)*100)</f>
        <v>-5.7999999999994493E-2</v>
      </c>
      <c r="H40" s="124">
        <f>F40+C9</f>
        <v>0.96699999999999997</v>
      </c>
      <c r="I40" s="125">
        <f t="shared" si="14"/>
        <v>1.00058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0.96699999999999997</v>
      </c>
      <c r="R40" s="12">
        <f t="shared" si="10"/>
        <v>1.00058</v>
      </c>
    </row>
    <row r="41" spans="1:21" s="10" customFormat="1" ht="13.9" customHeight="1" x14ac:dyDescent="0.25">
      <c r="A41" s="163">
        <v>45957</v>
      </c>
      <c r="B41" s="151" t="s">
        <v>141</v>
      </c>
      <c r="C41" s="135" t="str">
        <f>A12</f>
        <v>4:1/100%</v>
      </c>
      <c r="D41" s="135">
        <v>5</v>
      </c>
      <c r="E41" s="79">
        <v>-0.01</v>
      </c>
      <c r="F41" s="57">
        <v>0.36</v>
      </c>
      <c r="G41" s="124">
        <f>E41-((B12-1)*100)</f>
        <v>-5.1000000000002148E-2</v>
      </c>
      <c r="H41" s="124">
        <f>F41+C12</f>
        <v>1.06</v>
      </c>
      <c r="I41" s="125">
        <f>1-(G41/100)</f>
        <v>1.00051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1.06</v>
      </c>
      <c r="R41" s="12">
        <f t="shared" si="10"/>
        <v>1.00051</v>
      </c>
    </row>
    <row r="42" spans="1:21" s="10" customFormat="1" ht="13.9" customHeight="1" thickBot="1" x14ac:dyDescent="0.3">
      <c r="A42" s="167">
        <v>45957</v>
      </c>
      <c r="B42" s="168" t="s">
        <v>141</v>
      </c>
      <c r="C42" s="139" t="str">
        <f>A13</f>
        <v>4:1/120%</v>
      </c>
      <c r="D42" s="139">
        <v>5</v>
      </c>
      <c r="E42" s="80">
        <v>-1.4999999999999999E-2</v>
      </c>
      <c r="F42" s="78">
        <v>0.83</v>
      </c>
      <c r="G42" s="130">
        <f>E42-((B13-1)*100)</f>
        <v>-5.5330000000010635E-2</v>
      </c>
      <c r="H42" s="130">
        <f>F42+C13</f>
        <v>1.5229999999999999</v>
      </c>
      <c r="I42" s="131">
        <f t="shared" ref="I42" si="16">1-(G42/100)</f>
        <v>1.0005533000000002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1.5229999999999999</v>
      </c>
      <c r="R42" s="141">
        <f>I42</f>
        <v>1.0005533000000002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5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F4C1-8D27-46E5-8664-D30BF4F8E2F3}">
  <sheetPr>
    <tabColor theme="0"/>
  </sheetPr>
  <dimension ref="A1:U43"/>
  <sheetViews>
    <sheetView showGridLines="0" view="pageBreakPreview" topLeftCell="A13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25.9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35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45967</v>
      </c>
      <c r="B28" s="150" t="s">
        <v>142</v>
      </c>
      <c r="C28" s="132" t="str">
        <f>A6</f>
        <v>4:1/1%</v>
      </c>
      <c r="D28" s="133">
        <v>5</v>
      </c>
      <c r="E28" s="89">
        <v>8.0000000000000002E-3</v>
      </c>
      <c r="F28" s="90">
        <v>-3.25</v>
      </c>
      <c r="G28" s="122">
        <f>E28-((B6-1)*100)</f>
        <v>-7.5330000000003672E-2</v>
      </c>
      <c r="H28" s="122">
        <f>F28+C6</f>
        <v>-0.40700000000000003</v>
      </c>
      <c r="I28" s="123">
        <f>1-(G28/100)</f>
        <v>1.0007533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-0.40700000000000003</v>
      </c>
      <c r="N28" s="12">
        <f t="shared" ref="N28:N42" si="1">IFERROR(VLOOKUP($A$6,C28:I28,7,0),0)</f>
        <v>1.0007533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45967</v>
      </c>
      <c r="B29" s="151" t="s">
        <v>142</v>
      </c>
      <c r="C29" s="134" t="str">
        <f t="shared" ref="C29" si="4">A7</f>
        <v>4:1/5%</v>
      </c>
      <c r="D29" s="135">
        <v>5</v>
      </c>
      <c r="E29" s="79">
        <v>-0.01</v>
      </c>
      <c r="F29" s="57">
        <v>-0.28999999999999998</v>
      </c>
      <c r="G29" s="124">
        <f t="shared" ref="G29" si="5">E29-((B7-1)*100)</f>
        <v>-7.7330000000009877E-2</v>
      </c>
      <c r="H29" s="124">
        <f t="shared" ref="H29" si="6">F29+C7</f>
        <v>1.367</v>
      </c>
      <c r="I29" s="125">
        <f t="shared" ref="I29:I30" si="7">1-(G29/100)</f>
        <v>1.0007733000000001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1.367</v>
      </c>
      <c r="P29" s="12">
        <f t="shared" si="3"/>
        <v>1.0007733000000001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45967</v>
      </c>
      <c r="B30" s="151" t="s">
        <v>142</v>
      </c>
      <c r="C30" s="134" t="str">
        <f>A9</f>
        <v>4:1/20%</v>
      </c>
      <c r="D30" s="135">
        <v>5</v>
      </c>
      <c r="E30" s="79">
        <v>-2.5000000000000001E-2</v>
      </c>
      <c r="F30" s="57">
        <v>0.24</v>
      </c>
      <c r="G30" s="124">
        <f>E30-((B9-1)*100)</f>
        <v>-7.4999999999994488E-2</v>
      </c>
      <c r="H30" s="124">
        <f>F30+C9</f>
        <v>1.0569999999999999</v>
      </c>
      <c r="I30" s="125">
        <f t="shared" si="7"/>
        <v>1.00075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1.0569999999999999</v>
      </c>
      <c r="R30" s="12">
        <f>IFERROR(VLOOKUP($A$9,C30:I30,7,0),IFERROR(VLOOKUP($A$12,C30:I30,7,0),IFERROR(VLOOKUP($A$14,C30:I30,7,0),0)))</f>
        <v>1.00075</v>
      </c>
    </row>
    <row r="31" spans="1:21" s="10" customFormat="1" ht="13.9" customHeight="1" x14ac:dyDescent="0.25">
      <c r="A31" s="163">
        <v>45967</v>
      </c>
      <c r="B31" s="151" t="s">
        <v>142</v>
      </c>
      <c r="C31" s="134" t="str">
        <f>A12</f>
        <v>4:1/100%</v>
      </c>
      <c r="D31" s="135">
        <v>5</v>
      </c>
      <c r="E31" s="79">
        <v>-7.0000000000000001E-3</v>
      </c>
      <c r="F31" s="57">
        <v>0.04</v>
      </c>
      <c r="G31" s="124">
        <f>E31-((B12-1)*100)</f>
        <v>-4.8000000000002145E-2</v>
      </c>
      <c r="H31" s="124">
        <f>F31+C12</f>
        <v>0.74</v>
      </c>
      <c r="I31" s="125">
        <f>1-(G31/100)</f>
        <v>1.00048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0.74</v>
      </c>
      <c r="R31" s="12">
        <f t="shared" ref="R31:R41" si="10">IFERROR(VLOOKUP($A$9,C31:I31,7,0),IFERROR(VLOOKUP($A$12,C31:I31,7,0),IFERROR(VLOOKUP($A$14,C31:I31,7,0),0)))</f>
        <v>1.00048</v>
      </c>
    </row>
    <row r="32" spans="1:21" s="10" customFormat="1" ht="13.9" customHeight="1" thickBot="1" x14ac:dyDescent="0.3">
      <c r="A32" s="165">
        <v>45967</v>
      </c>
      <c r="B32" s="166" t="s">
        <v>142</v>
      </c>
      <c r="C32" s="136" t="str">
        <f>A13</f>
        <v>4:1/120%</v>
      </c>
      <c r="D32" s="137">
        <v>5</v>
      </c>
      <c r="E32" s="119">
        <v>-8.0000000000000002E-3</v>
      </c>
      <c r="F32" s="120">
        <v>0.01</v>
      </c>
      <c r="G32" s="126">
        <f>E32-((B13-1)*100)</f>
        <v>-4.8330000000010635E-2</v>
      </c>
      <c r="H32" s="126">
        <f>F32+C13</f>
        <v>0.70299999999999996</v>
      </c>
      <c r="I32" s="127">
        <f t="shared" ref="I32" si="11">1-(G32/100)</f>
        <v>1.0004833000000002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0.70299999999999996</v>
      </c>
      <c r="R32" s="141">
        <f>I32</f>
        <v>1.0004833000000002</v>
      </c>
    </row>
    <row r="33" spans="1:21" s="10" customFormat="1" ht="13.9" customHeight="1" thickTop="1" x14ac:dyDescent="0.25">
      <c r="A33" s="164">
        <v>45967</v>
      </c>
      <c r="B33" s="116" t="s">
        <v>143</v>
      </c>
      <c r="C33" s="138" t="str">
        <f>A6</f>
        <v>4:1/1%</v>
      </c>
      <c r="D33" s="138">
        <v>5</v>
      </c>
      <c r="E33" s="117">
        <v>2.5000000000000001E-2</v>
      </c>
      <c r="F33" s="118">
        <v>-3.51</v>
      </c>
      <c r="G33" s="128">
        <f>E33-((B6-1)*100)</f>
        <v>-5.8330000000003678E-2</v>
      </c>
      <c r="H33" s="128">
        <f>F33+C6</f>
        <v>-0.66699999999999982</v>
      </c>
      <c r="I33" s="129">
        <f>1-(G33/100)</f>
        <v>1.0005833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-0.66699999999999982</v>
      </c>
      <c r="N33" s="12">
        <f t="shared" si="1"/>
        <v>1.0005833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45967</v>
      </c>
      <c r="B34" s="151" t="s">
        <v>143</v>
      </c>
      <c r="C34" s="135" t="str">
        <f>A7</f>
        <v>4:1/5%</v>
      </c>
      <c r="D34" s="135">
        <v>5</v>
      </c>
      <c r="E34" s="79">
        <v>4.0000000000000001E-3</v>
      </c>
      <c r="F34" s="57">
        <v>-0.71</v>
      </c>
      <c r="G34" s="124">
        <f>E34-((B7-1)*100)</f>
        <v>-6.3330000000009878E-2</v>
      </c>
      <c r="H34" s="124">
        <f>F34+C7</f>
        <v>0.94700000000000006</v>
      </c>
      <c r="I34" s="125">
        <f t="shared" ref="I34:I35" si="12">1-(G34/100)</f>
        <v>1.0006333000000001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0.94700000000000006</v>
      </c>
      <c r="P34" s="12">
        <f t="shared" si="3"/>
        <v>1.0006333000000001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45967</v>
      </c>
      <c r="B35" s="151" t="s">
        <v>143</v>
      </c>
      <c r="C35" s="135" t="str">
        <f>A9</f>
        <v>4:1/20%</v>
      </c>
      <c r="D35" s="135">
        <v>5</v>
      </c>
      <c r="E35" s="79">
        <v>3.6999999999999998E-2</v>
      </c>
      <c r="F35" s="57">
        <v>0.35</v>
      </c>
      <c r="G35" s="124">
        <f>E35-((B9-1)*100)</f>
        <v>-1.2999999999994495E-2</v>
      </c>
      <c r="H35" s="124">
        <f>F35+C9</f>
        <v>1.1669999999999998</v>
      </c>
      <c r="I35" s="125">
        <f t="shared" si="12"/>
        <v>1.00013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1.1669999999999998</v>
      </c>
      <c r="R35" s="12">
        <f t="shared" si="10"/>
        <v>1.00013</v>
      </c>
    </row>
    <row r="36" spans="1:21" s="10" customFormat="1" ht="13.9" customHeight="1" x14ac:dyDescent="0.25">
      <c r="A36" s="163">
        <v>45967</v>
      </c>
      <c r="B36" s="151" t="s">
        <v>143</v>
      </c>
      <c r="C36" s="135" t="str">
        <f>A12</f>
        <v>4:1/100%</v>
      </c>
      <c r="D36" s="135">
        <v>5</v>
      </c>
      <c r="E36" s="79">
        <v>-1E-3</v>
      </c>
      <c r="F36" s="57">
        <v>0.03</v>
      </c>
      <c r="G36" s="124">
        <f>E36-((B12-1)*100)</f>
        <v>-4.2000000000002147E-2</v>
      </c>
      <c r="H36" s="124">
        <f>F36+C12</f>
        <v>0.73</v>
      </c>
      <c r="I36" s="125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0.73</v>
      </c>
      <c r="R36" s="12">
        <f t="shared" si="10"/>
        <v>1.0004200000000001</v>
      </c>
    </row>
    <row r="37" spans="1:21" s="10" customFormat="1" ht="13.9" customHeight="1" thickBot="1" x14ac:dyDescent="0.3">
      <c r="A37" s="165">
        <v>45967</v>
      </c>
      <c r="B37" s="166" t="s">
        <v>143</v>
      </c>
      <c r="C37" s="137" t="str">
        <f>A13</f>
        <v>4:1/120%</v>
      </c>
      <c r="D37" s="137">
        <v>5</v>
      </c>
      <c r="E37" s="119">
        <v>-3.0000000000000001E-3</v>
      </c>
      <c r="F37" s="120">
        <v>-0.04</v>
      </c>
      <c r="G37" s="126">
        <f>E37-((B13-1)*100)</f>
        <v>-4.3330000000010638E-2</v>
      </c>
      <c r="H37" s="126">
        <f>F37+C13</f>
        <v>0.65299999999999991</v>
      </c>
      <c r="I37" s="127">
        <f t="shared" ref="I37" si="13">1-(G37/100)</f>
        <v>1.0004333000000001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0.65299999999999991</v>
      </c>
      <c r="R37" s="141">
        <f>I37</f>
        <v>1.0004333000000001</v>
      </c>
    </row>
    <row r="38" spans="1:21" s="10" customFormat="1" ht="13.9" customHeight="1" thickTop="1" x14ac:dyDescent="0.25">
      <c r="A38" s="164">
        <v>45967</v>
      </c>
      <c r="B38" s="116" t="s">
        <v>144</v>
      </c>
      <c r="C38" s="138" t="str">
        <f>A6</f>
        <v>4:1/1%</v>
      </c>
      <c r="D38" s="138">
        <v>5</v>
      </c>
      <c r="E38" s="117">
        <v>5.0000000000000001E-3</v>
      </c>
      <c r="F38" s="118">
        <v>-1.34</v>
      </c>
      <c r="G38" s="128">
        <f>E38-((B6-1)*100)</f>
        <v>-7.8330000000003674E-2</v>
      </c>
      <c r="H38" s="128">
        <f>F38+C6</f>
        <v>1.5029999999999999</v>
      </c>
      <c r="I38" s="129">
        <f>1-(G38/100)</f>
        <v>1.0007832999999999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1.5029999999999999</v>
      </c>
      <c r="N38" s="12">
        <f t="shared" si="1"/>
        <v>1.0007832999999999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45967</v>
      </c>
      <c r="B39" s="151" t="s">
        <v>144</v>
      </c>
      <c r="C39" s="135" t="str">
        <f>A7</f>
        <v>4:1/5%</v>
      </c>
      <c r="D39" s="135">
        <v>5</v>
      </c>
      <c r="E39" s="79">
        <v>2E-3</v>
      </c>
      <c r="F39" s="57">
        <v>0.03</v>
      </c>
      <c r="G39" s="124">
        <f>E39-((B7-1)*100)</f>
        <v>-6.533000000000988E-2</v>
      </c>
      <c r="H39" s="124">
        <f>F39+C7</f>
        <v>1.6870000000000001</v>
      </c>
      <c r="I39" s="125">
        <f t="shared" ref="I39:I40" si="14">1-(G39/100)</f>
        <v>1.0006533000000002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1.6870000000000001</v>
      </c>
      <c r="P39" s="12">
        <f t="shared" si="3"/>
        <v>1.0006533000000002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45967</v>
      </c>
      <c r="B40" s="151" t="s">
        <v>144</v>
      </c>
      <c r="C40" s="135" t="str">
        <f>A9</f>
        <v>4:1/20%</v>
      </c>
      <c r="D40" s="135">
        <v>5</v>
      </c>
      <c r="E40" s="79">
        <v>-2.3E-2</v>
      </c>
      <c r="F40" s="57">
        <v>0.64</v>
      </c>
      <c r="G40" s="124">
        <f>E40-((B9-1)*100)</f>
        <v>-7.2999999999994486E-2</v>
      </c>
      <c r="H40" s="124">
        <f>F40+C9</f>
        <v>1.4569999999999999</v>
      </c>
      <c r="I40" s="125">
        <f t="shared" si="14"/>
        <v>1.0007299999999999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1.4569999999999999</v>
      </c>
      <c r="R40" s="12">
        <f t="shared" si="10"/>
        <v>1.0007299999999999</v>
      </c>
    </row>
    <row r="41" spans="1:21" s="10" customFormat="1" ht="13.9" customHeight="1" x14ac:dyDescent="0.25">
      <c r="A41" s="163">
        <v>45967</v>
      </c>
      <c r="B41" s="151" t="s">
        <v>144</v>
      </c>
      <c r="C41" s="135" t="str">
        <f>A12</f>
        <v>4:1/100%</v>
      </c>
      <c r="D41" s="135">
        <v>5</v>
      </c>
      <c r="E41" s="79">
        <v>-1.4999999999999999E-2</v>
      </c>
      <c r="F41" s="57">
        <v>0.51</v>
      </c>
      <c r="G41" s="124">
        <f>E41-((B12-1)*100)</f>
        <v>-5.6000000000002145E-2</v>
      </c>
      <c r="H41" s="124">
        <f>F41+C12</f>
        <v>1.21</v>
      </c>
      <c r="I41" s="125">
        <f>1-(G41/100)</f>
        <v>1.0005600000000001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1.21</v>
      </c>
      <c r="R41" s="12">
        <f t="shared" si="10"/>
        <v>1.0005600000000001</v>
      </c>
    </row>
    <row r="42" spans="1:21" s="10" customFormat="1" ht="13.9" customHeight="1" thickBot="1" x14ac:dyDescent="0.3">
      <c r="A42" s="167">
        <v>45967</v>
      </c>
      <c r="B42" s="168" t="s">
        <v>144</v>
      </c>
      <c r="C42" s="139" t="str">
        <f>A13</f>
        <v>4:1/120%</v>
      </c>
      <c r="D42" s="139">
        <v>5</v>
      </c>
      <c r="E42" s="80">
        <v>-1.9E-2</v>
      </c>
      <c r="F42" s="78">
        <v>0.79</v>
      </c>
      <c r="G42" s="130">
        <f>E42-((B13-1)*100)</f>
        <v>-5.9330000000010638E-2</v>
      </c>
      <c r="H42" s="130">
        <f>F42+C13</f>
        <v>1.4830000000000001</v>
      </c>
      <c r="I42" s="131">
        <f t="shared" ref="I42" si="16">1-(G42/100)</f>
        <v>1.0005933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1.4830000000000001</v>
      </c>
      <c r="R42" s="141">
        <f>I42</f>
        <v>1.0005933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4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0ACE-83CF-4C6F-8403-369FDD59BB82}">
  <dimension ref="A1:U43"/>
  <sheetViews>
    <sheetView showGridLines="0" view="pageBreakPreview" topLeftCell="A13" zoomScaleNormal="115" zoomScaleSheetLayoutView="100" workbookViewId="0">
      <selection activeCell="F33" sqref="F3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29.7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145</v>
      </c>
      <c r="C28" s="132" t="str">
        <f>A6</f>
        <v>4:1/1%</v>
      </c>
      <c r="D28" s="133">
        <v>5</v>
      </c>
      <c r="E28" s="89">
        <v>2.3E-2</v>
      </c>
      <c r="F28" s="90">
        <v>-3.34</v>
      </c>
      <c r="G28" s="122">
        <f>E28-((B6-1)*100)</f>
        <v>-6.0330000000003679E-2</v>
      </c>
      <c r="H28" s="122">
        <f>F28+C6</f>
        <v>-0.49699999999999989</v>
      </c>
      <c r="I28" s="123">
        <f>1-(G28/100)</f>
        <v>1.0006033000000001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-0.49699999999999989</v>
      </c>
      <c r="N28" s="12">
        <f t="shared" ref="N28:N42" si="1">IFERROR(VLOOKUP($A$6,C28:I28,7,0),0)</f>
        <v>1.0006033000000001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145</v>
      </c>
      <c r="C29" s="134" t="str">
        <f t="shared" ref="C29" si="4">A7</f>
        <v>4:1/5%</v>
      </c>
      <c r="D29" s="135">
        <v>5</v>
      </c>
      <c r="E29" s="79">
        <v>1E-3</v>
      </c>
      <c r="F29" s="57">
        <v>-0.62</v>
      </c>
      <c r="G29" s="124">
        <f t="shared" ref="G29" si="5">E29-((B7-1)*100)</f>
        <v>-6.6330000000009881E-2</v>
      </c>
      <c r="H29" s="124">
        <f t="shared" ref="H29" si="6">F29+C7</f>
        <v>1.0369999999999999</v>
      </c>
      <c r="I29" s="125">
        <f t="shared" ref="I29:I30" si="7">1-(G29/100)</f>
        <v>1.0006633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1.0369999999999999</v>
      </c>
      <c r="P29" s="12">
        <f t="shared" si="3"/>
        <v>1.0006633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145</v>
      </c>
      <c r="C30" s="134" t="str">
        <f>A9</f>
        <v>4:1/20%</v>
      </c>
      <c r="D30" s="135">
        <v>5</v>
      </c>
      <c r="E30" s="79">
        <v>1.0999999999999999E-2</v>
      </c>
      <c r="F30" s="57">
        <v>0.04</v>
      </c>
      <c r="G30" s="124">
        <f>E30-((B9-1)*100)</f>
        <v>-3.8999999999994497E-2</v>
      </c>
      <c r="H30" s="124">
        <f>F30+C9</f>
        <v>0.85699999999999998</v>
      </c>
      <c r="I30" s="125">
        <f t="shared" si="7"/>
        <v>1.0003899999999999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0.85699999999999998</v>
      </c>
      <c r="R30" s="12">
        <f>IFERROR(VLOOKUP($A$9,C30:I30,7,0),IFERROR(VLOOKUP($A$12,C30:I30,7,0),IFERROR(VLOOKUP($A$14,C30:I30,7,0),0)))</f>
        <v>1.0003899999999999</v>
      </c>
    </row>
    <row r="31" spans="1:21" s="10" customFormat="1" ht="13.9" customHeight="1" x14ac:dyDescent="0.25">
      <c r="A31" s="163">
        <v>45957</v>
      </c>
      <c r="B31" s="151" t="s">
        <v>145</v>
      </c>
      <c r="C31" s="134" t="str">
        <f>A12</f>
        <v>4:1/100%</v>
      </c>
      <c r="D31" s="135">
        <v>5</v>
      </c>
      <c r="E31" s="79">
        <v>-6.0000000000000001E-3</v>
      </c>
      <c r="F31" s="57">
        <v>-0.11</v>
      </c>
      <c r="G31" s="124">
        <f>E31-((B12-1)*100)</f>
        <v>-4.7000000000002144E-2</v>
      </c>
      <c r="H31" s="124">
        <f>F31+C12</f>
        <v>0.59</v>
      </c>
      <c r="I31" s="125">
        <f>1-(G31/100)</f>
        <v>1.00047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0.59</v>
      </c>
      <c r="R31" s="12">
        <f t="shared" ref="R31:R41" si="10">IFERROR(VLOOKUP($A$9,C31:I31,7,0),IFERROR(VLOOKUP($A$12,C31:I31,7,0),IFERROR(VLOOKUP($A$14,C31:I31,7,0),0)))</f>
        <v>1.00047</v>
      </c>
    </row>
    <row r="32" spans="1:21" s="10" customFormat="1" ht="13.9" customHeight="1" thickBot="1" x14ac:dyDescent="0.3">
      <c r="A32" s="165">
        <v>45957</v>
      </c>
      <c r="B32" s="166" t="s">
        <v>145</v>
      </c>
      <c r="C32" s="136" t="str">
        <f>A13</f>
        <v>4:1/120%</v>
      </c>
      <c r="D32" s="137">
        <v>5</v>
      </c>
      <c r="E32" s="119">
        <v>-6.0000000000000001E-3</v>
      </c>
      <c r="F32" s="120">
        <v>-0.16</v>
      </c>
      <c r="G32" s="126">
        <f>E32-((B13-1)*100)</f>
        <v>-4.6330000000010634E-2</v>
      </c>
      <c r="H32" s="126">
        <f>F32+C13</f>
        <v>0.53299999999999992</v>
      </c>
      <c r="I32" s="127">
        <f t="shared" ref="I32" si="11">1-(G32/100)</f>
        <v>1.0004633000000001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0.53299999999999992</v>
      </c>
      <c r="R32" s="141">
        <f>I32</f>
        <v>1.0004633000000001</v>
      </c>
    </row>
    <row r="33" spans="1:21" s="10" customFormat="1" ht="13.9" customHeight="1" thickTop="1" x14ac:dyDescent="0.25">
      <c r="A33" s="164">
        <v>45957</v>
      </c>
      <c r="B33" s="116" t="s">
        <v>146</v>
      </c>
      <c r="C33" s="138" t="str">
        <f>A6</f>
        <v>4:1/1%</v>
      </c>
      <c r="D33" s="138">
        <v>5</v>
      </c>
      <c r="E33" s="117">
        <v>1.2999999999999999E-2</v>
      </c>
      <c r="F33" s="118">
        <v>-2.95</v>
      </c>
      <c r="G33" s="128">
        <f>E33-((B6-1)*100)</f>
        <v>-7.0330000000003681E-2</v>
      </c>
      <c r="H33" s="128">
        <f>F33+C6</f>
        <v>-0.10700000000000021</v>
      </c>
      <c r="I33" s="129">
        <f>1-(G33/100)</f>
        <v>1.0007033000000001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-0.10700000000000021</v>
      </c>
      <c r="N33" s="12">
        <f t="shared" si="1"/>
        <v>1.0007033000000001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146</v>
      </c>
      <c r="C34" s="135" t="str">
        <f>A7</f>
        <v>4:1/5%</v>
      </c>
      <c r="D34" s="135">
        <v>5</v>
      </c>
      <c r="E34" s="79">
        <v>-1.0999999999999999E-2</v>
      </c>
      <c r="F34" s="57">
        <v>0.16</v>
      </c>
      <c r="G34" s="124">
        <f>E34-((B7-1)*100)</f>
        <v>-7.8330000000009878E-2</v>
      </c>
      <c r="H34" s="124">
        <f>F34+C7</f>
        <v>1.8169999999999999</v>
      </c>
      <c r="I34" s="125">
        <f t="shared" ref="I34:I35" si="12">1-(G34/100)</f>
        <v>1.0007833000000002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1.8169999999999999</v>
      </c>
      <c r="P34" s="12">
        <f t="shared" si="3"/>
        <v>1.0007833000000002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146</v>
      </c>
      <c r="C35" s="135" t="str">
        <f>A9</f>
        <v>4:1/20%</v>
      </c>
      <c r="D35" s="135">
        <v>5</v>
      </c>
      <c r="E35" s="79">
        <v>-3.2000000000000001E-2</v>
      </c>
      <c r="F35" s="57">
        <v>0.52</v>
      </c>
      <c r="G35" s="124">
        <f>E35-((B9-1)*100)</f>
        <v>-8.1999999999994494E-2</v>
      </c>
      <c r="H35" s="124">
        <f>F35+C9</f>
        <v>1.337</v>
      </c>
      <c r="I35" s="125">
        <f t="shared" si="12"/>
        <v>1.00082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1.337</v>
      </c>
      <c r="R35" s="12">
        <f t="shared" si="10"/>
        <v>1.00082</v>
      </c>
    </row>
    <row r="36" spans="1:21" s="10" customFormat="1" ht="13.9" customHeight="1" x14ac:dyDescent="0.25">
      <c r="A36" s="163">
        <v>45957</v>
      </c>
      <c r="B36" s="151" t="s">
        <v>146</v>
      </c>
      <c r="C36" s="135" t="str">
        <f>A12</f>
        <v>4:1/100%</v>
      </c>
      <c r="D36" s="135">
        <v>5</v>
      </c>
      <c r="E36" s="79">
        <v>-0.02</v>
      </c>
      <c r="F36" s="57">
        <v>-0.04</v>
      </c>
      <c r="G36" s="124">
        <f>E36-((B12-1)*100)</f>
        <v>-6.100000000000215E-2</v>
      </c>
      <c r="H36" s="124">
        <f>F36+C12</f>
        <v>0.65999999999999992</v>
      </c>
      <c r="I36" s="125">
        <f>1-(G36/100)</f>
        <v>1.00061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0.65999999999999992</v>
      </c>
      <c r="R36" s="12">
        <f t="shared" si="10"/>
        <v>1.00061</v>
      </c>
    </row>
    <row r="37" spans="1:21" s="10" customFormat="1" ht="13.9" customHeight="1" thickBot="1" x14ac:dyDescent="0.3">
      <c r="A37" s="165">
        <v>45957</v>
      </c>
      <c r="B37" s="166" t="s">
        <v>146</v>
      </c>
      <c r="C37" s="137" t="str">
        <f>A13</f>
        <v>4:1/120%</v>
      </c>
      <c r="D37" s="137">
        <v>5</v>
      </c>
      <c r="E37" s="119">
        <v>-0.02</v>
      </c>
      <c r="F37" s="120">
        <v>-0.08</v>
      </c>
      <c r="G37" s="126">
        <f>E37-((B13-1)*100)</f>
        <v>-6.0330000000010639E-2</v>
      </c>
      <c r="H37" s="126">
        <f>F37+C13</f>
        <v>0.61299999999999999</v>
      </c>
      <c r="I37" s="127">
        <f t="shared" ref="I37" si="13">1-(G37/100)</f>
        <v>1.0006033000000001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0.61299999999999999</v>
      </c>
      <c r="R37" s="141">
        <f>I37</f>
        <v>1.0006033000000001</v>
      </c>
    </row>
    <row r="38" spans="1:21" s="10" customFormat="1" ht="13.9" customHeight="1" thickTop="1" x14ac:dyDescent="0.25">
      <c r="A38" s="164">
        <v>45957</v>
      </c>
      <c r="B38" s="116" t="s">
        <v>147</v>
      </c>
      <c r="C38" s="138" t="str">
        <f>A6</f>
        <v>4:1/1%</v>
      </c>
      <c r="D38" s="138">
        <v>5</v>
      </c>
      <c r="E38" s="117">
        <v>-3.0000000000000001E-3</v>
      </c>
      <c r="F38" s="118">
        <v>-0.59</v>
      </c>
      <c r="G38" s="128">
        <f>E38-((B6-1)*100)</f>
        <v>-8.6330000000003682E-2</v>
      </c>
      <c r="H38" s="128">
        <f>F38+C6</f>
        <v>2.2530000000000001</v>
      </c>
      <c r="I38" s="129">
        <f>1-(G38/100)</f>
        <v>1.0008633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2.2530000000000001</v>
      </c>
      <c r="N38" s="12">
        <f t="shared" si="1"/>
        <v>1.0008633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147</v>
      </c>
      <c r="C39" s="135" t="str">
        <f>A7</f>
        <v>4:1/5%</v>
      </c>
      <c r="D39" s="135">
        <v>5</v>
      </c>
      <c r="E39" s="79">
        <v>-1.4999999999999999E-2</v>
      </c>
      <c r="F39" s="57">
        <v>0.63</v>
      </c>
      <c r="G39" s="124">
        <f>E39-((B7-1)*100)</f>
        <v>-8.2330000000009881E-2</v>
      </c>
      <c r="H39" s="124">
        <f>F39+C7</f>
        <v>2.2869999999999999</v>
      </c>
      <c r="I39" s="125">
        <f t="shared" ref="I39:I40" si="14">1-(G39/100)</f>
        <v>1.0008233000000002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2.2869999999999999</v>
      </c>
      <c r="P39" s="12">
        <f t="shared" si="3"/>
        <v>1.0008233000000002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147</v>
      </c>
      <c r="C40" s="135" t="str">
        <f>A9</f>
        <v>4:1/20%</v>
      </c>
      <c r="D40" s="135">
        <v>5</v>
      </c>
      <c r="E40" s="79">
        <v>-3.9E-2</v>
      </c>
      <c r="F40" s="57">
        <v>0.9</v>
      </c>
      <c r="G40" s="124">
        <f>E40-((B9-1)*100)</f>
        <v>-8.89999999999945E-2</v>
      </c>
      <c r="H40" s="124">
        <f>F40+C9</f>
        <v>1.7170000000000001</v>
      </c>
      <c r="I40" s="125">
        <f t="shared" si="14"/>
        <v>1.0008899999999998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1.7170000000000001</v>
      </c>
      <c r="R40" s="12">
        <f t="shared" si="10"/>
        <v>1.0008899999999998</v>
      </c>
    </row>
    <row r="41" spans="1:21" s="10" customFormat="1" ht="13.9" customHeight="1" x14ac:dyDescent="0.25">
      <c r="A41" s="163">
        <v>45957</v>
      </c>
      <c r="B41" s="151" t="s">
        <v>147</v>
      </c>
      <c r="C41" s="135" t="str">
        <f>A12</f>
        <v>4:1/100%</v>
      </c>
      <c r="D41" s="135">
        <v>5</v>
      </c>
      <c r="E41" s="79">
        <v>-3.2000000000000001E-2</v>
      </c>
      <c r="F41" s="57">
        <v>0.78</v>
      </c>
      <c r="G41" s="124">
        <f>E41-((B12-1)*100)</f>
        <v>-7.3000000000002147E-2</v>
      </c>
      <c r="H41" s="124">
        <f>F41+C12</f>
        <v>1.48</v>
      </c>
      <c r="I41" s="125">
        <f>1-(G41/100)</f>
        <v>1.0007300000000001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1.48</v>
      </c>
      <c r="R41" s="12">
        <f t="shared" si="10"/>
        <v>1.0007300000000001</v>
      </c>
    </row>
    <row r="42" spans="1:21" s="10" customFormat="1" ht="13.9" customHeight="1" thickBot="1" x14ac:dyDescent="0.3">
      <c r="A42" s="167">
        <v>45957</v>
      </c>
      <c r="B42" s="168" t="s">
        <v>147</v>
      </c>
      <c r="C42" s="139" t="str">
        <f>A13</f>
        <v>4:1/120%</v>
      </c>
      <c r="D42" s="139">
        <v>5</v>
      </c>
      <c r="E42" s="80">
        <v>-3.4000000000000002E-2</v>
      </c>
      <c r="F42" s="78">
        <v>1.04</v>
      </c>
      <c r="G42" s="130">
        <f>E42-((B13-1)*100)</f>
        <v>-7.4330000000010638E-2</v>
      </c>
      <c r="H42" s="130">
        <f>F42+C13</f>
        <v>1.7330000000000001</v>
      </c>
      <c r="I42" s="131">
        <f t="shared" ref="I42" si="16">1-(G42/100)</f>
        <v>1.0007433000000001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1.7330000000000001</v>
      </c>
      <c r="R42" s="141">
        <f>I42</f>
        <v>1.0007433000000001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3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7164-D111-4E9A-B338-26FEFE47ACF3}">
  <dimension ref="A1:U43"/>
  <sheetViews>
    <sheetView showGridLines="0" view="pageBreakPreview" topLeftCell="A13" zoomScaleNormal="115" zoomScaleSheetLayoutView="100" workbookViewId="0">
      <selection activeCell="E43" sqref="E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29.8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148</v>
      </c>
      <c r="C28" s="132" t="str">
        <f>A6</f>
        <v>4:1/1%</v>
      </c>
      <c r="D28" s="133">
        <v>5</v>
      </c>
      <c r="E28" s="89">
        <v>3.1E-2</v>
      </c>
      <c r="F28" s="90">
        <v>-4</v>
      </c>
      <c r="G28" s="122">
        <f>E28-((B6-1)*100)</f>
        <v>-5.2330000000003679E-2</v>
      </c>
      <c r="H28" s="122">
        <f>F28+C6</f>
        <v>-1.157</v>
      </c>
      <c r="I28" s="123">
        <f>1-(G28/100)</f>
        <v>1.0005233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-1.157</v>
      </c>
      <c r="N28" s="12">
        <f t="shared" ref="N28:N42" si="1">IFERROR(VLOOKUP($A$6,C28:I28,7,0),0)</f>
        <v>1.0005233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148</v>
      </c>
      <c r="C29" s="134" t="str">
        <f t="shared" ref="C29" si="4">A7</f>
        <v>4:1/5%</v>
      </c>
      <c r="D29" s="135">
        <v>5</v>
      </c>
      <c r="E29" s="79">
        <v>8.9999999999999993E-3</v>
      </c>
      <c r="F29" s="57">
        <v>-1.05</v>
      </c>
      <c r="G29" s="124">
        <f t="shared" ref="G29" si="5">E29-((B7-1)*100)</f>
        <v>-5.8330000000009881E-2</v>
      </c>
      <c r="H29" s="124">
        <f t="shared" ref="H29" si="6">F29+C7</f>
        <v>0.60699999999999998</v>
      </c>
      <c r="I29" s="125">
        <f t="shared" ref="I29:I30" si="7">1-(G29/100)</f>
        <v>1.0005833000000002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0.60699999999999998</v>
      </c>
      <c r="P29" s="12">
        <f t="shared" si="3"/>
        <v>1.0005833000000002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148</v>
      </c>
      <c r="C30" s="134" t="str">
        <f>A9</f>
        <v>4:1/20%</v>
      </c>
      <c r="D30" s="135">
        <v>5</v>
      </c>
      <c r="E30" s="79">
        <v>8.9999999999999993E-3</v>
      </c>
      <c r="F30" s="57">
        <v>0.24</v>
      </c>
      <c r="G30" s="124">
        <f>E30-((B9-1)*100)</f>
        <v>-4.0999999999994492E-2</v>
      </c>
      <c r="H30" s="124">
        <f>F30+C9</f>
        <v>1.0569999999999999</v>
      </c>
      <c r="I30" s="125">
        <f t="shared" si="7"/>
        <v>1.00041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1.0569999999999999</v>
      </c>
      <c r="R30" s="12">
        <f>IFERROR(VLOOKUP($A$9,C30:I30,7,0),IFERROR(VLOOKUP($A$12,C30:I30,7,0),IFERROR(VLOOKUP($A$14,C30:I30,7,0),0)))</f>
        <v>1.00041</v>
      </c>
    </row>
    <row r="31" spans="1:21" s="10" customFormat="1" ht="13.9" customHeight="1" x14ac:dyDescent="0.25">
      <c r="A31" s="163">
        <v>45957</v>
      </c>
      <c r="B31" s="151" t="s">
        <v>148</v>
      </c>
      <c r="C31" s="134" t="str">
        <f>A12</f>
        <v>4:1/100%</v>
      </c>
      <c r="D31" s="135">
        <v>5</v>
      </c>
      <c r="E31" s="79">
        <v>-1.2E-2</v>
      </c>
      <c r="F31" s="57">
        <v>0.04</v>
      </c>
      <c r="G31" s="124">
        <f>E31-((B12-1)*100)</f>
        <v>-5.3000000000002143E-2</v>
      </c>
      <c r="H31" s="124">
        <f>F31+C12</f>
        <v>0.74</v>
      </c>
      <c r="I31" s="125">
        <f>1-(G31/100)</f>
        <v>1.0005299999999999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0.74</v>
      </c>
      <c r="R31" s="12">
        <f t="shared" ref="R31:R41" si="10">IFERROR(VLOOKUP($A$9,C31:I31,7,0),IFERROR(VLOOKUP($A$12,C31:I31,7,0),IFERROR(VLOOKUP($A$14,C31:I31,7,0),0)))</f>
        <v>1.0005299999999999</v>
      </c>
    </row>
    <row r="32" spans="1:21" s="10" customFormat="1" ht="13.9" customHeight="1" thickBot="1" x14ac:dyDescent="0.3">
      <c r="A32" s="165">
        <v>45957</v>
      </c>
      <c r="B32" s="166" t="s">
        <v>148</v>
      </c>
      <c r="C32" s="136" t="str">
        <f>A13</f>
        <v>4:1/120%</v>
      </c>
      <c r="D32" s="137">
        <v>5</v>
      </c>
      <c r="E32" s="119">
        <v>-0.01</v>
      </c>
      <c r="F32" s="120">
        <v>-0.04</v>
      </c>
      <c r="G32" s="126">
        <f>E32-((B13-1)*100)</f>
        <v>-5.0330000000010637E-2</v>
      </c>
      <c r="H32" s="126">
        <f>F32+C13</f>
        <v>0.65299999999999991</v>
      </c>
      <c r="I32" s="127">
        <f t="shared" ref="I32" si="11">1-(G32/100)</f>
        <v>1.0005033000000001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0.65299999999999991</v>
      </c>
      <c r="R32" s="141">
        <f>I32</f>
        <v>1.0005033000000001</v>
      </c>
    </row>
    <row r="33" spans="1:21" s="10" customFormat="1" ht="13.9" customHeight="1" thickTop="1" x14ac:dyDescent="0.25">
      <c r="A33" s="164">
        <v>45957</v>
      </c>
      <c r="B33" s="116" t="s">
        <v>149</v>
      </c>
      <c r="C33" s="138" t="str">
        <f>A6</f>
        <v>4:1/1%</v>
      </c>
      <c r="D33" s="138">
        <v>5</v>
      </c>
      <c r="E33" s="117">
        <v>1.4999999999999999E-2</v>
      </c>
      <c r="F33" s="118">
        <v>-2.91</v>
      </c>
      <c r="G33" s="128">
        <f>E33-((B6-1)*100)</f>
        <v>-6.8330000000003679E-2</v>
      </c>
      <c r="H33" s="128">
        <f>F33+C6</f>
        <v>-6.7000000000000171E-2</v>
      </c>
      <c r="I33" s="129">
        <f>1-(G33/100)</f>
        <v>1.0006832999999999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-6.7000000000000171E-2</v>
      </c>
      <c r="N33" s="12">
        <f t="shared" si="1"/>
        <v>1.0006832999999999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136</v>
      </c>
      <c r="C34" s="135" t="str">
        <f>A7</f>
        <v>4:1/5%</v>
      </c>
      <c r="D34" s="135">
        <v>5</v>
      </c>
      <c r="E34" s="79">
        <v>-8.0000000000000002E-3</v>
      </c>
      <c r="F34" s="57">
        <v>0.04</v>
      </c>
      <c r="G34" s="124">
        <f>E34-((B7-1)*100)</f>
        <v>-7.5330000000009889E-2</v>
      </c>
      <c r="H34" s="124">
        <f>F34+C7</f>
        <v>1.6970000000000001</v>
      </c>
      <c r="I34" s="125">
        <f t="shared" ref="I34:I35" si="12">1-(G34/100)</f>
        <v>1.0007533000000002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1.6970000000000001</v>
      </c>
      <c r="P34" s="12">
        <f t="shared" si="3"/>
        <v>1.0007533000000002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149</v>
      </c>
      <c r="C35" s="135" t="str">
        <f>A9</f>
        <v>4:1/20%</v>
      </c>
      <c r="D35" s="135">
        <v>5</v>
      </c>
      <c r="E35" s="79">
        <v>-1.7000000000000001E-2</v>
      </c>
      <c r="F35" s="57">
        <v>0.57999999999999996</v>
      </c>
      <c r="G35" s="124">
        <f>E35-((B9-1)*100)</f>
        <v>-6.6999999999994495E-2</v>
      </c>
      <c r="H35" s="124">
        <f>F35+C9</f>
        <v>1.3969999999999998</v>
      </c>
      <c r="I35" s="125">
        <f t="shared" si="12"/>
        <v>1.0006699999999999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1.3969999999999998</v>
      </c>
      <c r="R35" s="12">
        <f t="shared" si="10"/>
        <v>1.0006699999999999</v>
      </c>
    </row>
    <row r="36" spans="1:21" s="10" customFormat="1" ht="13.9" customHeight="1" x14ac:dyDescent="0.25">
      <c r="A36" s="163">
        <v>45957</v>
      </c>
      <c r="B36" s="151" t="s">
        <v>149</v>
      </c>
      <c r="C36" s="135" t="str">
        <f>A12</f>
        <v>4:1/100%</v>
      </c>
      <c r="D36" s="135">
        <v>5</v>
      </c>
      <c r="E36" s="79">
        <v>-0.02</v>
      </c>
      <c r="F36" s="57">
        <v>-7.0000000000000007E-2</v>
      </c>
      <c r="G36" s="124">
        <f>E36-((B12-1)*100)</f>
        <v>-6.100000000000215E-2</v>
      </c>
      <c r="H36" s="124">
        <f>F36+C12</f>
        <v>0.62999999999999989</v>
      </c>
      <c r="I36" s="125">
        <f>1-(G36/100)</f>
        <v>1.00061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0.62999999999999989</v>
      </c>
      <c r="R36" s="12">
        <f t="shared" si="10"/>
        <v>1.00061</v>
      </c>
    </row>
    <row r="37" spans="1:21" s="10" customFormat="1" ht="13.9" customHeight="1" thickBot="1" x14ac:dyDescent="0.3">
      <c r="A37" s="165">
        <v>45957</v>
      </c>
      <c r="B37" s="166" t="s">
        <v>149</v>
      </c>
      <c r="C37" s="137" t="str">
        <f>A13</f>
        <v>4:1/120%</v>
      </c>
      <c r="D37" s="137">
        <v>5</v>
      </c>
      <c r="E37" s="119">
        <v>-2.1000000000000001E-2</v>
      </c>
      <c r="F37" s="120">
        <v>-0.13</v>
      </c>
      <c r="G37" s="126">
        <f>E37-((B13-1)*100)</f>
        <v>-6.133000000001064E-2</v>
      </c>
      <c r="H37" s="126">
        <f>F37+C13</f>
        <v>0.56299999999999994</v>
      </c>
      <c r="I37" s="127">
        <f t="shared" ref="I37" si="13">1-(G37/100)</f>
        <v>1.0006133000000001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0.56299999999999994</v>
      </c>
      <c r="R37" s="141">
        <f>I37</f>
        <v>1.0006133000000001</v>
      </c>
    </row>
    <row r="38" spans="1:21" s="10" customFormat="1" ht="13.9" customHeight="1" thickTop="1" x14ac:dyDescent="0.25">
      <c r="A38" s="164">
        <v>45957</v>
      </c>
      <c r="B38" s="116" t="s">
        <v>150</v>
      </c>
      <c r="C38" s="138" t="str">
        <f>A6</f>
        <v>4:1/1%</v>
      </c>
      <c r="D38" s="138">
        <v>5</v>
      </c>
      <c r="E38" s="117">
        <v>-7.0000000000000001E-3</v>
      </c>
      <c r="F38" s="118">
        <v>-0.47</v>
      </c>
      <c r="G38" s="128">
        <f>E38-((B6-1)*100)</f>
        <v>-9.0330000000003685E-2</v>
      </c>
      <c r="H38" s="128">
        <f>F38+C6</f>
        <v>2.3730000000000002</v>
      </c>
      <c r="I38" s="129">
        <f>1-(G38/100)</f>
        <v>1.0009033000000001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2.3730000000000002</v>
      </c>
      <c r="N38" s="12">
        <f t="shared" si="1"/>
        <v>1.0009033000000001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150</v>
      </c>
      <c r="C39" s="135" t="str">
        <f>A7</f>
        <v>4:1/5%</v>
      </c>
      <c r="D39" s="135">
        <v>5</v>
      </c>
      <c r="E39" s="79">
        <v>-0.02</v>
      </c>
      <c r="F39" s="57">
        <v>0.65</v>
      </c>
      <c r="G39" s="124">
        <f>E39-((B7-1)*100)</f>
        <v>-8.7330000000009886E-2</v>
      </c>
      <c r="H39" s="124">
        <f>F39+C7</f>
        <v>2.3069999999999999</v>
      </c>
      <c r="I39" s="125">
        <f t="shared" ref="I39:I40" si="14">1-(G39/100)</f>
        <v>1.0008733000000001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2.3069999999999999</v>
      </c>
      <c r="P39" s="12">
        <f t="shared" si="3"/>
        <v>1.0008733000000001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150</v>
      </c>
      <c r="C40" s="135" t="str">
        <f>A9</f>
        <v>4:1/20%</v>
      </c>
      <c r="D40" s="135">
        <v>5</v>
      </c>
      <c r="E40" s="79">
        <v>-3.6999999999999998E-2</v>
      </c>
      <c r="F40" s="57">
        <v>0.83</v>
      </c>
      <c r="G40" s="124">
        <f>E40-((B9-1)*100)</f>
        <v>-8.6999999999994498E-2</v>
      </c>
      <c r="H40" s="124">
        <f>F40+C9</f>
        <v>1.6469999999999998</v>
      </c>
      <c r="I40" s="125">
        <f t="shared" si="14"/>
        <v>1.0008699999999999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1.6469999999999998</v>
      </c>
      <c r="R40" s="12">
        <f t="shared" si="10"/>
        <v>1.0008699999999999</v>
      </c>
    </row>
    <row r="41" spans="1:21" s="10" customFormat="1" ht="13.9" customHeight="1" x14ac:dyDescent="0.25">
      <c r="A41" s="163">
        <v>45957</v>
      </c>
      <c r="B41" s="151" t="s">
        <v>150</v>
      </c>
      <c r="C41" s="135" t="str">
        <f>A12</f>
        <v>4:1/100%</v>
      </c>
      <c r="D41" s="135">
        <v>5</v>
      </c>
      <c r="E41" s="79">
        <v>-3.5999999999999997E-2</v>
      </c>
      <c r="F41" s="57">
        <v>1.08</v>
      </c>
      <c r="G41" s="124">
        <f>E41-((B12-1)*100)</f>
        <v>-7.700000000000215E-2</v>
      </c>
      <c r="H41" s="124">
        <f>F41+C12</f>
        <v>1.78</v>
      </c>
      <c r="I41" s="125">
        <f>1-(G41/100)</f>
        <v>1.0007699999999999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1.78</v>
      </c>
      <c r="R41" s="12">
        <f t="shared" si="10"/>
        <v>1.0007699999999999</v>
      </c>
    </row>
    <row r="42" spans="1:21" s="10" customFormat="1" ht="13.9" customHeight="1" thickBot="1" x14ac:dyDescent="0.3">
      <c r="A42" s="167">
        <v>45957</v>
      </c>
      <c r="B42" s="168" t="s">
        <v>150</v>
      </c>
      <c r="C42" s="139" t="str">
        <f>A13</f>
        <v>4:1/120%</v>
      </c>
      <c r="D42" s="139">
        <v>5</v>
      </c>
      <c r="E42" s="80">
        <v>-4.9000000000000002E-2</v>
      </c>
      <c r="F42" s="78">
        <v>1.78</v>
      </c>
      <c r="G42" s="130">
        <f>E42-((B13-1)*100)</f>
        <v>-8.9330000000010637E-2</v>
      </c>
      <c r="H42" s="130">
        <f>F42+C13</f>
        <v>2.4729999999999999</v>
      </c>
      <c r="I42" s="131">
        <f t="shared" ref="I42" si="16">1-(G42/100)</f>
        <v>1.0008933000000002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2.4729999999999999</v>
      </c>
      <c r="R42" s="141">
        <f>I42</f>
        <v>1.0008933000000002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2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9ED-4E6A-4855-B290-76270DA94148}">
  <dimension ref="A1:U43"/>
  <sheetViews>
    <sheetView showGridLines="0" view="pageBreakPreview" topLeftCell="A13" zoomScaleNormal="115" zoomScaleSheetLayoutView="100" workbookViewId="0">
      <selection activeCell="E31" sqref="E31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29.8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151</v>
      </c>
      <c r="C28" s="132" t="str">
        <f>A6</f>
        <v>4:1/1%</v>
      </c>
      <c r="D28" s="133">
        <v>5</v>
      </c>
      <c r="E28" s="89">
        <v>2.9000000000000001E-2</v>
      </c>
      <c r="F28" s="90">
        <v>-3.82</v>
      </c>
      <c r="G28" s="122">
        <f>E28-((B6-1)*100)</f>
        <v>-5.4330000000003681E-2</v>
      </c>
      <c r="H28" s="122">
        <f>F28+C6</f>
        <v>-0.97699999999999987</v>
      </c>
      <c r="I28" s="123">
        <f>1-(G28/100)</f>
        <v>1.0005433000000001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-0.97699999999999987</v>
      </c>
      <c r="N28" s="12">
        <f t="shared" ref="N28:N42" si="1">IFERROR(VLOOKUP($A$6,C28:I28,7,0),0)</f>
        <v>1.0005433000000001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151</v>
      </c>
      <c r="C29" s="134" t="str">
        <f t="shared" ref="C29" si="4">A7</f>
        <v>4:1/5%</v>
      </c>
      <c r="D29" s="135">
        <v>5</v>
      </c>
      <c r="E29" s="79">
        <v>6.0000000000000001E-3</v>
      </c>
      <c r="F29" s="57">
        <v>-0.99</v>
      </c>
      <c r="G29" s="124">
        <f t="shared" ref="G29" si="5">E29-((B7-1)*100)</f>
        <v>-6.1330000000009884E-2</v>
      </c>
      <c r="H29" s="124">
        <f t="shared" ref="H29" si="6">F29+C7</f>
        <v>0.66700000000000004</v>
      </c>
      <c r="I29" s="125">
        <f t="shared" ref="I29:I30" si="7">1-(G29/100)</f>
        <v>1.0006133000000001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0.66700000000000004</v>
      </c>
      <c r="P29" s="12">
        <f t="shared" si="3"/>
        <v>1.0006133000000001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151</v>
      </c>
      <c r="C30" s="134" t="str">
        <f>A9</f>
        <v>4:1/20%</v>
      </c>
      <c r="D30" s="135">
        <v>5</v>
      </c>
      <c r="E30" s="79">
        <v>-8.9999999999999993E-3</v>
      </c>
      <c r="F30" s="57">
        <v>-0.05</v>
      </c>
      <c r="G30" s="124">
        <f>E30-((B9-1)*100)</f>
        <v>-5.8999999999994494E-2</v>
      </c>
      <c r="H30" s="124">
        <f>F30+C9</f>
        <v>0.7669999999999999</v>
      </c>
      <c r="I30" s="125">
        <f t="shared" si="7"/>
        <v>1.0005899999999999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0.7669999999999999</v>
      </c>
      <c r="R30" s="12">
        <f>IFERROR(VLOOKUP($A$9,C30:I30,7,0),IFERROR(VLOOKUP($A$12,C30:I30,7,0),IFERROR(VLOOKUP($A$14,C30:I30,7,0),0)))</f>
        <v>1.0005899999999999</v>
      </c>
    </row>
    <row r="31" spans="1:21" s="10" customFormat="1" ht="13.9" customHeight="1" x14ac:dyDescent="0.25">
      <c r="A31" s="163">
        <v>45957</v>
      </c>
      <c r="B31" s="151" t="s">
        <v>151</v>
      </c>
      <c r="C31" s="134" t="str">
        <f>A12</f>
        <v>4:1/100%</v>
      </c>
      <c r="D31" s="135">
        <v>5</v>
      </c>
      <c r="E31" s="79">
        <v>-5.0000000000000001E-3</v>
      </c>
      <c r="F31" s="57">
        <v>-7.0000000000000007E-2</v>
      </c>
      <c r="G31" s="124">
        <f>E31-((B12-1)*100)</f>
        <v>-4.6000000000002143E-2</v>
      </c>
      <c r="H31" s="124">
        <f>F31+C12</f>
        <v>0.62999999999999989</v>
      </c>
      <c r="I31" s="125">
        <f>1-(G31/100)</f>
        <v>1.0004600000000001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0.62999999999999989</v>
      </c>
      <c r="R31" s="12">
        <f t="shared" ref="R31:R41" si="10">IFERROR(VLOOKUP($A$9,C31:I31,7,0),IFERROR(VLOOKUP($A$12,C31:I31,7,0),IFERROR(VLOOKUP($A$14,C31:I31,7,0),0)))</f>
        <v>1.0004600000000001</v>
      </c>
    </row>
    <row r="32" spans="1:21" s="10" customFormat="1" ht="13.9" customHeight="1" thickBot="1" x14ac:dyDescent="0.3">
      <c r="A32" s="165">
        <v>45957</v>
      </c>
      <c r="B32" s="166" t="s">
        <v>151</v>
      </c>
      <c r="C32" s="136" t="str">
        <f>A13</f>
        <v>4:1/120%</v>
      </c>
      <c r="D32" s="137">
        <v>5</v>
      </c>
      <c r="E32" s="119">
        <v>-6.0000000000000001E-3</v>
      </c>
      <c r="F32" s="120">
        <v>-0.11</v>
      </c>
      <c r="G32" s="126">
        <f>E32-((B13-1)*100)</f>
        <v>-4.6330000000010634E-2</v>
      </c>
      <c r="H32" s="126">
        <f>F32+C13</f>
        <v>0.58299999999999996</v>
      </c>
      <c r="I32" s="127">
        <f t="shared" ref="I32" si="11">1-(G32/100)</f>
        <v>1.0004633000000001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0.58299999999999996</v>
      </c>
      <c r="R32" s="141">
        <f>I32</f>
        <v>1.0004633000000001</v>
      </c>
    </row>
    <row r="33" spans="1:21" s="10" customFormat="1" ht="13.9" customHeight="1" thickTop="1" x14ac:dyDescent="0.25">
      <c r="A33" s="164">
        <v>45957</v>
      </c>
      <c r="B33" s="116" t="s">
        <v>152</v>
      </c>
      <c r="C33" s="138" t="str">
        <f>A6</f>
        <v>4:1/1%</v>
      </c>
      <c r="D33" s="138">
        <v>5</v>
      </c>
      <c r="E33" s="117">
        <v>3.0000000000000001E-3</v>
      </c>
      <c r="F33" s="118">
        <v>-1.86</v>
      </c>
      <c r="G33" s="128">
        <f>E33-((B6-1)*100)</f>
        <v>-8.0330000000003676E-2</v>
      </c>
      <c r="H33" s="128">
        <f>F33+C6</f>
        <v>0.98299999999999987</v>
      </c>
      <c r="I33" s="129">
        <f>1-(G33/100)</f>
        <v>1.0008033000000001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0.98299999999999987</v>
      </c>
      <c r="N33" s="12">
        <f t="shared" si="1"/>
        <v>1.0008033000000001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152</v>
      </c>
      <c r="C34" s="135" t="str">
        <f>A7</f>
        <v>4:1/5%</v>
      </c>
      <c r="D34" s="135">
        <v>5</v>
      </c>
      <c r="E34" s="79">
        <v>-1.9E-2</v>
      </c>
      <c r="F34" s="57">
        <v>0.54</v>
      </c>
      <c r="G34" s="124">
        <f>E34-((B7-1)*100)</f>
        <v>-8.6330000000009885E-2</v>
      </c>
      <c r="H34" s="124">
        <f>F34+C7</f>
        <v>2.1970000000000001</v>
      </c>
      <c r="I34" s="125">
        <f t="shared" ref="I34:I35" si="12">1-(G34/100)</f>
        <v>1.0008633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2.1970000000000001</v>
      </c>
      <c r="P34" s="12">
        <f t="shared" si="3"/>
        <v>1.0008633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152</v>
      </c>
      <c r="C35" s="135" t="str">
        <f>A9</f>
        <v>4:1/20%</v>
      </c>
      <c r="D35" s="135">
        <v>5</v>
      </c>
      <c r="E35" s="79">
        <v>-0.04</v>
      </c>
      <c r="F35" s="57">
        <v>0.66</v>
      </c>
      <c r="G35" s="124">
        <f>E35-((B9-1)*100)</f>
        <v>-8.9999999999994501E-2</v>
      </c>
      <c r="H35" s="124">
        <f>F35+C9</f>
        <v>1.4769999999999999</v>
      </c>
      <c r="I35" s="125">
        <f t="shared" si="12"/>
        <v>1.0008999999999999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1.4769999999999999</v>
      </c>
      <c r="R35" s="12">
        <f t="shared" si="10"/>
        <v>1.0008999999999999</v>
      </c>
    </row>
    <row r="36" spans="1:21" s="10" customFormat="1" ht="13.9" customHeight="1" x14ac:dyDescent="0.25">
      <c r="A36" s="163">
        <v>45957</v>
      </c>
      <c r="B36" s="151" t="s">
        <v>152</v>
      </c>
      <c r="C36" s="135" t="str">
        <f>A12</f>
        <v>4:1/100%</v>
      </c>
      <c r="D36" s="135">
        <v>5</v>
      </c>
      <c r="E36" s="79">
        <v>-2.5000000000000001E-2</v>
      </c>
      <c r="F36" s="57">
        <v>0.06</v>
      </c>
      <c r="G36" s="124">
        <f>E36-((B12-1)*100)</f>
        <v>-6.600000000000214E-2</v>
      </c>
      <c r="H36" s="124">
        <f>F36+C12</f>
        <v>0.76</v>
      </c>
      <c r="I36" s="125">
        <f>1-(G36/100)</f>
        <v>1.0006600000000001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0.76</v>
      </c>
      <c r="R36" s="12">
        <f t="shared" si="10"/>
        <v>1.0006600000000001</v>
      </c>
    </row>
    <row r="37" spans="1:21" s="10" customFormat="1" ht="13.9" customHeight="1" thickBot="1" x14ac:dyDescent="0.3">
      <c r="A37" s="165">
        <v>45957</v>
      </c>
      <c r="B37" s="166" t="s">
        <v>152</v>
      </c>
      <c r="C37" s="137" t="str">
        <f>A13</f>
        <v>4:1/120%</v>
      </c>
      <c r="D37" s="137">
        <v>5</v>
      </c>
      <c r="E37" s="119">
        <v>-2.5000000000000001E-2</v>
      </c>
      <c r="F37" s="120">
        <v>0.01</v>
      </c>
      <c r="G37" s="126">
        <f>E37-((B13-1)*100)</f>
        <v>-6.533000000001063E-2</v>
      </c>
      <c r="H37" s="126">
        <f>F37+C13</f>
        <v>0.70299999999999996</v>
      </c>
      <c r="I37" s="127">
        <f t="shared" ref="I37" si="13">1-(G37/100)</f>
        <v>1.0006533000000002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0.70299999999999996</v>
      </c>
      <c r="R37" s="141">
        <f>I37</f>
        <v>1.0006533000000002</v>
      </c>
    </row>
    <row r="38" spans="1:21" s="10" customFormat="1" ht="13.9" customHeight="1" thickTop="1" x14ac:dyDescent="0.25">
      <c r="A38" s="164">
        <v>45957</v>
      </c>
      <c r="B38" s="116" t="s">
        <v>153</v>
      </c>
      <c r="C38" s="138" t="str">
        <f>A6</f>
        <v>4:1/1%</v>
      </c>
      <c r="D38" s="138">
        <v>5</v>
      </c>
      <c r="E38" s="117">
        <v>-3.0000000000000001E-3</v>
      </c>
      <c r="F38" s="118">
        <v>-1.02</v>
      </c>
      <c r="G38" s="128">
        <f>E38-((B6-1)*100)</f>
        <v>-8.6330000000003682E-2</v>
      </c>
      <c r="H38" s="128">
        <f>F38+C6</f>
        <v>1.823</v>
      </c>
      <c r="I38" s="129">
        <f>1-(G38/100)</f>
        <v>1.0008633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1.823</v>
      </c>
      <c r="N38" s="12">
        <f t="shared" si="1"/>
        <v>1.0008633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153</v>
      </c>
      <c r="C39" s="135" t="str">
        <f>A7</f>
        <v>4:1/5%</v>
      </c>
      <c r="D39" s="135">
        <v>5</v>
      </c>
      <c r="E39" s="79">
        <v>-1.6E-2</v>
      </c>
      <c r="F39" s="57">
        <v>0.55000000000000004</v>
      </c>
      <c r="G39" s="124">
        <f>E39-((B7-1)*100)</f>
        <v>-8.3330000000009882E-2</v>
      </c>
      <c r="H39" s="124">
        <f>F39+C7</f>
        <v>2.2069999999999999</v>
      </c>
      <c r="I39" s="125">
        <f t="shared" ref="I39:I40" si="14">1-(G39/100)</f>
        <v>1.0008333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2.2069999999999999</v>
      </c>
      <c r="P39" s="12">
        <f t="shared" si="3"/>
        <v>1.0008333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153</v>
      </c>
      <c r="C40" s="135" t="str">
        <f>A9</f>
        <v>4:1/20%</v>
      </c>
      <c r="D40" s="135">
        <v>5</v>
      </c>
      <c r="E40" s="79">
        <v>-3.3000000000000002E-2</v>
      </c>
      <c r="F40" s="57">
        <v>0.84</v>
      </c>
      <c r="G40" s="124">
        <f>E40-((B9-1)*100)</f>
        <v>-8.2999999999994495E-2</v>
      </c>
      <c r="H40" s="124">
        <f>F40+C9</f>
        <v>1.657</v>
      </c>
      <c r="I40" s="125">
        <f t="shared" si="14"/>
        <v>1.0008299999999999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1.657</v>
      </c>
      <c r="R40" s="12">
        <f t="shared" si="10"/>
        <v>1.0008299999999999</v>
      </c>
    </row>
    <row r="41" spans="1:21" s="10" customFormat="1" ht="13.9" customHeight="1" x14ac:dyDescent="0.25">
      <c r="A41" s="163">
        <v>45957</v>
      </c>
      <c r="B41" s="151" t="s">
        <v>153</v>
      </c>
      <c r="C41" s="135" t="str">
        <f>A12</f>
        <v>4:1/100%</v>
      </c>
      <c r="D41" s="135">
        <v>5</v>
      </c>
      <c r="E41" s="79">
        <v>-3.3000000000000002E-2</v>
      </c>
      <c r="F41" s="57">
        <v>0.75</v>
      </c>
      <c r="G41" s="124">
        <f>E41-((B12-1)*100)</f>
        <v>-7.4000000000002147E-2</v>
      </c>
      <c r="H41" s="124">
        <f>F41+C12</f>
        <v>1.45</v>
      </c>
      <c r="I41" s="125">
        <f>1-(G41/100)</f>
        <v>1.00074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1.45</v>
      </c>
      <c r="R41" s="12">
        <f t="shared" si="10"/>
        <v>1.00074</v>
      </c>
    </row>
    <row r="42" spans="1:21" s="10" customFormat="1" ht="13.9" customHeight="1" thickBot="1" x14ac:dyDescent="0.3">
      <c r="A42" s="167">
        <v>45957</v>
      </c>
      <c r="B42" s="168" t="s">
        <v>153</v>
      </c>
      <c r="C42" s="139" t="str">
        <f>A13</f>
        <v>4:1/120%</v>
      </c>
      <c r="D42" s="139">
        <v>5</v>
      </c>
      <c r="E42" s="80">
        <v>-4.1000000000000002E-2</v>
      </c>
      <c r="F42" s="78">
        <v>1.32</v>
      </c>
      <c r="G42" s="130">
        <f>E42-((B13-1)*100)</f>
        <v>-8.1330000000010644E-2</v>
      </c>
      <c r="H42" s="130">
        <f>F42+C13</f>
        <v>2.0129999999999999</v>
      </c>
      <c r="I42" s="131">
        <f t="shared" ref="I42" si="16">1-(G42/100)</f>
        <v>1.0008133000000001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2.0129999999999999</v>
      </c>
      <c r="R42" s="141">
        <f>I42</f>
        <v>1.0008133000000001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1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D6DD-C63F-4087-ACD7-BC91D50F11DF}">
  <sheetPr>
    <tabColor theme="0"/>
  </sheetPr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25.8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35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45967</v>
      </c>
      <c r="B28" s="150" t="s">
        <v>154</v>
      </c>
      <c r="C28" s="132" t="str">
        <f>A6</f>
        <v>4:1/1%</v>
      </c>
      <c r="D28" s="133">
        <v>5</v>
      </c>
      <c r="E28" s="89">
        <v>1E-3</v>
      </c>
      <c r="F28" s="90">
        <v>-0.99</v>
      </c>
      <c r="G28" s="122">
        <f>E28-((B6-1)*100)</f>
        <v>-8.2330000000003678E-2</v>
      </c>
      <c r="H28" s="122">
        <f>F28+C6</f>
        <v>1.853</v>
      </c>
      <c r="I28" s="123">
        <f>1-(G28/100)</f>
        <v>1.0008233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1.853</v>
      </c>
      <c r="N28" s="12">
        <f t="shared" ref="N28:N42" si="1">IFERROR(VLOOKUP($A$6,C28:I28,7,0),0)</f>
        <v>1.0008233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45967</v>
      </c>
      <c r="B29" s="151" t="s">
        <v>154</v>
      </c>
      <c r="C29" s="134" t="str">
        <f t="shared" ref="C29" si="4">A7</f>
        <v>4:1/5%</v>
      </c>
      <c r="D29" s="135">
        <v>5</v>
      </c>
      <c r="E29" s="79">
        <v>1E-3</v>
      </c>
      <c r="F29" s="57">
        <v>-0.91</v>
      </c>
      <c r="G29" s="124">
        <f t="shared" ref="G29" si="5">E29-((B7-1)*100)</f>
        <v>-6.6330000000009881E-2</v>
      </c>
      <c r="H29" s="124">
        <f t="shared" ref="H29" si="6">F29+C7</f>
        <v>0.747</v>
      </c>
      <c r="I29" s="125">
        <f t="shared" ref="I29:I30" si="7">1-(G29/100)</f>
        <v>1.0006633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0.747</v>
      </c>
      <c r="P29" s="12">
        <f t="shared" si="3"/>
        <v>1.0006633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45967</v>
      </c>
      <c r="B30" s="151" t="s">
        <v>154</v>
      </c>
      <c r="C30" s="134" t="str">
        <f>A9</f>
        <v>4:1/20%</v>
      </c>
      <c r="D30" s="135">
        <v>5</v>
      </c>
      <c r="E30" s="79">
        <v>-1.4999999999999999E-2</v>
      </c>
      <c r="F30" s="57">
        <v>0.04</v>
      </c>
      <c r="G30" s="124">
        <f>E30-((B9-1)*100)</f>
        <v>-6.4999999999994493E-2</v>
      </c>
      <c r="H30" s="124">
        <f>F30+C9</f>
        <v>0.85699999999999998</v>
      </c>
      <c r="I30" s="125">
        <f t="shared" si="7"/>
        <v>1.00065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0.85699999999999998</v>
      </c>
      <c r="R30" s="12">
        <f>IFERROR(VLOOKUP($A$9,C30:I30,7,0),IFERROR(VLOOKUP($A$12,C30:I30,7,0),IFERROR(VLOOKUP($A$14,C30:I30,7,0),0)))</f>
        <v>1.00065</v>
      </c>
    </row>
    <row r="31" spans="1:21" s="10" customFormat="1" ht="13.9" customHeight="1" x14ac:dyDescent="0.25">
      <c r="A31" s="163">
        <v>45967</v>
      </c>
      <c r="B31" s="151" t="s">
        <v>154</v>
      </c>
      <c r="C31" s="134" t="str">
        <f>A12</f>
        <v>4:1/100%</v>
      </c>
      <c r="D31" s="135">
        <v>5</v>
      </c>
      <c r="E31" s="79">
        <v>-1E-3</v>
      </c>
      <c r="F31" s="57">
        <v>-7.0000000000000007E-2</v>
      </c>
      <c r="G31" s="124">
        <f>E31-((B12-1)*100)</f>
        <v>-4.2000000000002147E-2</v>
      </c>
      <c r="H31" s="124">
        <f>F31+C12</f>
        <v>0.62999999999999989</v>
      </c>
      <c r="I31" s="125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0.62999999999999989</v>
      </c>
      <c r="R31" s="12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5">
        <v>45967</v>
      </c>
      <c r="B32" s="166" t="s">
        <v>154</v>
      </c>
      <c r="C32" s="136" t="str">
        <f>A13</f>
        <v>4:1/120%</v>
      </c>
      <c r="D32" s="137">
        <v>5</v>
      </c>
      <c r="E32" s="119">
        <v>-2E-3</v>
      </c>
      <c r="F32" s="120">
        <v>-0.12</v>
      </c>
      <c r="G32" s="126">
        <f>E32-((B13-1)*100)</f>
        <v>-4.2330000000010637E-2</v>
      </c>
      <c r="H32" s="126">
        <f>F32+C13</f>
        <v>0.57299999999999995</v>
      </c>
      <c r="I32" s="127">
        <f t="shared" ref="I32" si="11">1-(G32/100)</f>
        <v>1.0004233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0.57299999999999995</v>
      </c>
      <c r="R32" s="141">
        <f>I32</f>
        <v>1.0004233</v>
      </c>
    </row>
    <row r="33" spans="1:21" s="10" customFormat="1" ht="13.9" customHeight="1" thickTop="1" x14ac:dyDescent="0.25">
      <c r="A33" s="164">
        <v>45967</v>
      </c>
      <c r="B33" s="116" t="s">
        <v>155</v>
      </c>
      <c r="C33" s="138" t="str">
        <f>A6</f>
        <v>4:1/1%</v>
      </c>
      <c r="D33" s="138">
        <v>5</v>
      </c>
      <c r="E33" s="117">
        <v>1.6E-2</v>
      </c>
      <c r="F33" s="118">
        <v>-4.09</v>
      </c>
      <c r="G33" s="128">
        <f>E33-((B6-1)*100)</f>
        <v>-6.7330000000003679E-2</v>
      </c>
      <c r="H33" s="128">
        <f>F33+C6</f>
        <v>-1.2469999999999999</v>
      </c>
      <c r="I33" s="129">
        <f>1-(G33/100)</f>
        <v>1.0006733000000001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-1.2469999999999999</v>
      </c>
      <c r="N33" s="12">
        <f t="shared" si="1"/>
        <v>1.0006733000000001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45967</v>
      </c>
      <c r="B34" s="151" t="s">
        <v>155</v>
      </c>
      <c r="C34" s="135" t="str">
        <f>A7</f>
        <v>4:1/5%</v>
      </c>
      <c r="D34" s="135">
        <v>5</v>
      </c>
      <c r="E34" s="79">
        <v>-7.0000000000000001E-3</v>
      </c>
      <c r="F34" s="57">
        <v>-0.65</v>
      </c>
      <c r="G34" s="124">
        <f>E34-((B7-1)*100)</f>
        <v>-7.4330000000009888E-2</v>
      </c>
      <c r="H34" s="124">
        <f>F34+C7</f>
        <v>1.0070000000000001</v>
      </c>
      <c r="I34" s="125">
        <f t="shared" ref="I34:I35" si="12">1-(G34/100)</f>
        <v>1.0007433000000001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1.0070000000000001</v>
      </c>
      <c r="P34" s="12">
        <f t="shared" si="3"/>
        <v>1.0007433000000001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45967</v>
      </c>
      <c r="B35" s="151" t="s">
        <v>155</v>
      </c>
      <c r="C35" s="135" t="str">
        <f>A9</f>
        <v>4:1/20%</v>
      </c>
      <c r="D35" s="135">
        <v>5</v>
      </c>
      <c r="E35" s="79">
        <v>-2.3E-2</v>
      </c>
      <c r="F35" s="57">
        <v>0.12</v>
      </c>
      <c r="G35" s="124">
        <f>E35-((B9-1)*100)</f>
        <v>-7.2999999999994486E-2</v>
      </c>
      <c r="H35" s="124">
        <f>F35+C9</f>
        <v>0.93699999999999994</v>
      </c>
      <c r="I35" s="125">
        <f t="shared" si="12"/>
        <v>1.0007299999999999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0.93699999999999994</v>
      </c>
      <c r="R35" s="12">
        <f t="shared" si="10"/>
        <v>1.0007299999999999</v>
      </c>
    </row>
    <row r="36" spans="1:21" s="10" customFormat="1" ht="13.9" customHeight="1" x14ac:dyDescent="0.25">
      <c r="A36" s="163">
        <v>45967</v>
      </c>
      <c r="B36" s="151" t="s">
        <v>155</v>
      </c>
      <c r="C36" s="135" t="str">
        <f>A12</f>
        <v>4:1/100%</v>
      </c>
      <c r="D36" s="135">
        <v>5</v>
      </c>
      <c r="E36" s="79">
        <v>-8.0000000000000002E-3</v>
      </c>
      <c r="F36" s="57">
        <v>-0.03</v>
      </c>
      <c r="G36" s="124">
        <f>E36-((B12-1)*100)</f>
        <v>-4.9000000000002146E-2</v>
      </c>
      <c r="H36" s="124">
        <f>F36+C12</f>
        <v>0.66999999999999993</v>
      </c>
      <c r="I36" s="125">
        <f>1-(G36/100)</f>
        <v>1.0004900000000001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0.66999999999999993</v>
      </c>
      <c r="R36" s="12">
        <f t="shared" si="10"/>
        <v>1.0004900000000001</v>
      </c>
    </row>
    <row r="37" spans="1:21" s="10" customFormat="1" ht="13.9" customHeight="1" thickBot="1" x14ac:dyDescent="0.3">
      <c r="A37" s="165">
        <v>45967</v>
      </c>
      <c r="B37" s="166" t="s">
        <v>155</v>
      </c>
      <c r="C37" s="137" t="str">
        <f>A13</f>
        <v>4:1/120%</v>
      </c>
      <c r="D37" s="137">
        <v>5</v>
      </c>
      <c r="E37" s="119">
        <v>-8.9999999999999993E-3</v>
      </c>
      <c r="F37" s="120">
        <v>-0.1</v>
      </c>
      <c r="G37" s="126">
        <f>E37-((B13-1)*100)</f>
        <v>-4.9330000000010636E-2</v>
      </c>
      <c r="H37" s="126">
        <f>F37+C13</f>
        <v>0.59299999999999997</v>
      </c>
      <c r="I37" s="127">
        <f t="shared" ref="I37" si="13">1-(G37/100)</f>
        <v>1.0004933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0.59299999999999997</v>
      </c>
      <c r="R37" s="141">
        <f>I37</f>
        <v>1.0004933</v>
      </c>
    </row>
    <row r="38" spans="1:21" s="10" customFormat="1" ht="13.9" customHeight="1" thickTop="1" x14ac:dyDescent="0.25">
      <c r="A38" s="164">
        <v>45967</v>
      </c>
      <c r="B38" s="116" t="s">
        <v>156</v>
      </c>
      <c r="C38" s="138" t="str">
        <f>A6</f>
        <v>4:1/1%</v>
      </c>
      <c r="D38" s="138">
        <v>5</v>
      </c>
      <c r="E38" s="117">
        <v>8.9999999999999993E-3</v>
      </c>
      <c r="F38" s="118">
        <v>-1.49</v>
      </c>
      <c r="G38" s="128">
        <f>E38-((B6-1)*100)</f>
        <v>-7.4330000000003685E-2</v>
      </c>
      <c r="H38" s="128">
        <f>F38+C6</f>
        <v>1.353</v>
      </c>
      <c r="I38" s="129">
        <f>1-(G38/100)</f>
        <v>1.0007433000000001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1.353</v>
      </c>
      <c r="N38" s="12">
        <f t="shared" si="1"/>
        <v>1.0007433000000001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45967</v>
      </c>
      <c r="B39" s="151" t="s">
        <v>156</v>
      </c>
      <c r="C39" s="135" t="str">
        <f>A7</f>
        <v>4:1/5%</v>
      </c>
      <c r="D39" s="135">
        <v>5</v>
      </c>
      <c r="E39" s="79">
        <v>-4.0000000000000001E-3</v>
      </c>
      <c r="F39" s="57">
        <v>-0.22</v>
      </c>
      <c r="G39" s="124">
        <f>E39-((B7-1)*100)</f>
        <v>-7.1330000000009885E-2</v>
      </c>
      <c r="H39" s="124">
        <f>F39+C7</f>
        <v>1.4370000000000001</v>
      </c>
      <c r="I39" s="125">
        <f t="shared" ref="I39:I40" si="14">1-(G39/100)</f>
        <v>1.0007133000000001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1.4370000000000001</v>
      </c>
      <c r="P39" s="12">
        <f t="shared" si="3"/>
        <v>1.0007133000000001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45967</v>
      </c>
      <c r="B40" s="151" t="s">
        <v>156</v>
      </c>
      <c r="C40" s="135" t="str">
        <f>A9</f>
        <v>4:1/20%</v>
      </c>
      <c r="D40" s="135">
        <v>5</v>
      </c>
      <c r="E40" s="79">
        <v>-1.7999999999999999E-2</v>
      </c>
      <c r="F40" s="57">
        <v>0.43</v>
      </c>
      <c r="G40" s="124">
        <f>E40-((B9-1)*100)</f>
        <v>-6.7999999999994495E-2</v>
      </c>
      <c r="H40" s="124">
        <f>F40+C9</f>
        <v>1.2469999999999999</v>
      </c>
      <c r="I40" s="125">
        <f t="shared" si="14"/>
        <v>1.00068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1.2469999999999999</v>
      </c>
      <c r="R40" s="12">
        <f t="shared" si="10"/>
        <v>1.00068</v>
      </c>
    </row>
    <row r="41" spans="1:21" s="10" customFormat="1" ht="13.9" customHeight="1" x14ac:dyDescent="0.25">
      <c r="A41" s="163">
        <v>45967</v>
      </c>
      <c r="B41" s="151" t="s">
        <v>156</v>
      </c>
      <c r="C41" s="135" t="str">
        <f>A12</f>
        <v>4:1/100%</v>
      </c>
      <c r="D41" s="135">
        <v>5</v>
      </c>
      <c r="E41" s="79">
        <v>-1.0999999999999999E-2</v>
      </c>
      <c r="F41" s="57">
        <v>0.6</v>
      </c>
      <c r="G41" s="124">
        <f>E41-((B12-1)*100)</f>
        <v>-5.2000000000002142E-2</v>
      </c>
      <c r="H41" s="124">
        <f>F41+C12</f>
        <v>1.2999999999999998</v>
      </c>
      <c r="I41" s="125">
        <f>1-(G41/100)</f>
        <v>1.0005200000000001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1.2999999999999998</v>
      </c>
      <c r="R41" s="12">
        <f t="shared" si="10"/>
        <v>1.0005200000000001</v>
      </c>
    </row>
    <row r="42" spans="1:21" s="10" customFormat="1" ht="13.9" customHeight="1" thickBot="1" x14ac:dyDescent="0.3">
      <c r="A42" s="167">
        <v>45967</v>
      </c>
      <c r="B42" s="168" t="s">
        <v>156</v>
      </c>
      <c r="C42" s="139" t="str">
        <f>A13</f>
        <v>4:1/120%</v>
      </c>
      <c r="D42" s="139">
        <v>5</v>
      </c>
      <c r="E42" s="80">
        <v>-3.3000000000000002E-2</v>
      </c>
      <c r="F42" s="78">
        <v>1.69</v>
      </c>
      <c r="G42" s="130">
        <f>E42-((B13-1)*100)</f>
        <v>-7.3330000000010637E-2</v>
      </c>
      <c r="H42" s="130">
        <f>F42+C13</f>
        <v>2.383</v>
      </c>
      <c r="I42" s="131">
        <f t="shared" ref="I42" si="16">1-(G42/100)</f>
        <v>1.0007333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2.383</v>
      </c>
      <c r="R42" s="141">
        <f>I42</f>
        <v>1.0007333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0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F748-719F-4284-A4C6-F65FE9A0FE39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29.4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157</v>
      </c>
      <c r="C28" s="132" t="str">
        <f>A6</f>
        <v>4:1/1%</v>
      </c>
      <c r="D28" s="133">
        <v>5</v>
      </c>
      <c r="E28" s="89">
        <v>1.7999999999999999E-2</v>
      </c>
      <c r="F28" s="90">
        <v>-3.77</v>
      </c>
      <c r="G28" s="122">
        <f>E28-((B6-1)*100)</f>
        <v>-6.5330000000003677E-2</v>
      </c>
      <c r="H28" s="122">
        <f>F28+C6</f>
        <v>-0.92700000000000005</v>
      </c>
      <c r="I28" s="123">
        <f>1-(G28/100)</f>
        <v>1.0006533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-0.92700000000000005</v>
      </c>
      <c r="N28" s="12">
        <f t="shared" ref="N28:N42" si="1">IFERROR(VLOOKUP($A$6,C28:I28,7,0),0)</f>
        <v>1.0006533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157</v>
      </c>
      <c r="C29" s="134" t="str">
        <f t="shared" ref="C29" si="4">A7</f>
        <v>4:1/5%</v>
      </c>
      <c r="D29" s="135">
        <v>5</v>
      </c>
      <c r="E29" s="79">
        <v>-8.9999999999999993E-3</v>
      </c>
      <c r="F29" s="57">
        <v>-0.21</v>
      </c>
      <c r="G29" s="124">
        <f t="shared" ref="G29" si="5">E29-((B7-1)*100)</f>
        <v>-7.6330000000009876E-2</v>
      </c>
      <c r="H29" s="124">
        <f t="shared" ref="H29" si="6">F29+C7</f>
        <v>1.4470000000000001</v>
      </c>
      <c r="I29" s="125">
        <f t="shared" ref="I29:I30" si="7">1-(G29/100)</f>
        <v>1.0007633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1.4470000000000001</v>
      </c>
      <c r="P29" s="12">
        <f t="shared" si="3"/>
        <v>1.0007633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157</v>
      </c>
      <c r="C30" s="134" t="str">
        <f>A9</f>
        <v>4:1/20%</v>
      </c>
      <c r="D30" s="135">
        <v>5</v>
      </c>
      <c r="E30" s="79">
        <v>-3.1E-2</v>
      </c>
      <c r="F30" s="57">
        <v>0.37</v>
      </c>
      <c r="G30" s="124">
        <f>E30-((B9-1)*100)</f>
        <v>-8.0999999999994493E-2</v>
      </c>
      <c r="H30" s="124">
        <f>F30+C9</f>
        <v>1.1869999999999998</v>
      </c>
      <c r="I30" s="125">
        <f t="shared" si="7"/>
        <v>1.00081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1.1869999999999998</v>
      </c>
      <c r="R30" s="12">
        <f>IFERROR(VLOOKUP($A$9,C30:I30,7,0),IFERROR(VLOOKUP($A$12,C30:I30,7,0),IFERROR(VLOOKUP($A$14,C30:I30,7,0),0)))</f>
        <v>1.00081</v>
      </c>
    </row>
    <row r="31" spans="1:21" s="10" customFormat="1" ht="13.9" customHeight="1" x14ac:dyDescent="0.25">
      <c r="A31" s="163">
        <v>45957</v>
      </c>
      <c r="B31" s="151" t="s">
        <v>157</v>
      </c>
      <c r="C31" s="134" t="str">
        <f>A12</f>
        <v>4:1/100%</v>
      </c>
      <c r="D31" s="135">
        <v>5</v>
      </c>
      <c r="E31" s="79">
        <v>-2.1000000000000001E-2</v>
      </c>
      <c r="F31" s="57">
        <v>-0.05</v>
      </c>
      <c r="G31" s="124">
        <f>E31-((B12-1)*100)</f>
        <v>-6.2000000000002151E-2</v>
      </c>
      <c r="H31" s="124">
        <f>F31+C12</f>
        <v>0.64999999999999991</v>
      </c>
      <c r="I31" s="125">
        <f>1-(G31/100)</f>
        <v>1.0006200000000001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0.64999999999999991</v>
      </c>
      <c r="R31" s="12">
        <f t="shared" ref="R31:R41" si="10">IFERROR(VLOOKUP($A$9,C31:I31,7,0),IFERROR(VLOOKUP($A$12,C31:I31,7,0),IFERROR(VLOOKUP($A$14,C31:I31,7,0),0)))</f>
        <v>1.0006200000000001</v>
      </c>
    </row>
    <row r="32" spans="1:21" s="10" customFormat="1" ht="13.9" customHeight="1" thickBot="1" x14ac:dyDescent="0.3">
      <c r="A32" s="165">
        <v>45957</v>
      </c>
      <c r="B32" s="166" t="s">
        <v>157</v>
      </c>
      <c r="C32" s="136" t="str">
        <f>A13</f>
        <v>4:1/120%</v>
      </c>
      <c r="D32" s="137">
        <v>5</v>
      </c>
      <c r="E32" s="119">
        <v>-2.1000000000000001E-2</v>
      </c>
      <c r="F32" s="120">
        <v>-0.03</v>
      </c>
      <c r="G32" s="126">
        <f>E32-((B13-1)*100)</f>
        <v>-6.133000000001064E-2</v>
      </c>
      <c r="H32" s="126">
        <f>F32+C13</f>
        <v>0.66299999999999992</v>
      </c>
      <c r="I32" s="127">
        <f t="shared" ref="I32" si="11">1-(G32/100)</f>
        <v>1.0006133000000001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0.66299999999999992</v>
      </c>
      <c r="R32" s="141">
        <f>I32</f>
        <v>1.0006133000000001</v>
      </c>
    </row>
    <row r="33" spans="1:21" s="10" customFormat="1" ht="13.9" customHeight="1" thickTop="1" x14ac:dyDescent="0.25">
      <c r="A33" s="164">
        <v>45957</v>
      </c>
      <c r="B33" s="116" t="s">
        <v>158</v>
      </c>
      <c r="C33" s="138" t="str">
        <f>A6</f>
        <v>4:1/1%</v>
      </c>
      <c r="D33" s="138">
        <v>5</v>
      </c>
      <c r="E33" s="117">
        <v>1.2E-2</v>
      </c>
      <c r="F33" s="118">
        <v>-2.54</v>
      </c>
      <c r="G33" s="128">
        <f>E33-((B6-1)*100)</f>
        <v>-7.1330000000003682E-2</v>
      </c>
      <c r="H33" s="128">
        <f>F33+C6</f>
        <v>0.30299999999999994</v>
      </c>
      <c r="I33" s="129">
        <f>1-(G33/100)</f>
        <v>1.0007133000000001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0.30299999999999994</v>
      </c>
      <c r="N33" s="12">
        <f t="shared" si="1"/>
        <v>1.0007133000000001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158</v>
      </c>
      <c r="C34" s="135" t="str">
        <f>A7</f>
        <v>4:1/5%</v>
      </c>
      <c r="D34" s="135">
        <v>5</v>
      </c>
      <c r="E34" s="79">
        <v>-1.4E-2</v>
      </c>
      <c r="F34" s="57">
        <v>0.61</v>
      </c>
      <c r="G34" s="124">
        <f>E34-((B7-1)*100)</f>
        <v>-8.1330000000009881E-2</v>
      </c>
      <c r="H34" s="124">
        <f>F34+C7</f>
        <v>2.2669999999999999</v>
      </c>
      <c r="I34" s="125">
        <f t="shared" ref="I34:I35" si="12">1-(G34/100)</f>
        <v>1.0008133000000001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2.2669999999999999</v>
      </c>
      <c r="P34" s="12">
        <f t="shared" si="3"/>
        <v>1.0008133000000001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158</v>
      </c>
      <c r="C35" s="135" t="str">
        <f>A9</f>
        <v>4:1/20%</v>
      </c>
      <c r="D35" s="135">
        <v>5</v>
      </c>
      <c r="E35" s="79">
        <v>-2.4E-2</v>
      </c>
      <c r="F35" s="57">
        <v>0.84</v>
      </c>
      <c r="G35" s="124">
        <f>E35-((B9-1)*100)</f>
        <v>-7.3999999999994487E-2</v>
      </c>
      <c r="H35" s="124">
        <f>F35+C9</f>
        <v>1.657</v>
      </c>
      <c r="I35" s="125">
        <f t="shared" si="12"/>
        <v>1.00074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1.657</v>
      </c>
      <c r="R35" s="12">
        <f t="shared" si="10"/>
        <v>1.00074</v>
      </c>
    </row>
    <row r="36" spans="1:21" s="10" customFormat="1" ht="13.9" customHeight="1" x14ac:dyDescent="0.25">
      <c r="A36" s="163">
        <v>45957</v>
      </c>
      <c r="B36" s="151" t="s">
        <v>158</v>
      </c>
      <c r="C36" s="135" t="str">
        <f>A12</f>
        <v>4:1/100%</v>
      </c>
      <c r="D36" s="135">
        <v>5</v>
      </c>
      <c r="E36" s="79">
        <v>-2.3E-2</v>
      </c>
      <c r="F36" s="57">
        <v>0.18</v>
      </c>
      <c r="G36" s="124">
        <f>E36-((B12-1)*100)</f>
        <v>-6.4000000000002139E-2</v>
      </c>
      <c r="H36" s="124">
        <f>F36+C12</f>
        <v>0.87999999999999989</v>
      </c>
      <c r="I36" s="125">
        <f>1-(G36/100)</f>
        <v>1.00064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0.87999999999999989</v>
      </c>
      <c r="R36" s="12">
        <f t="shared" si="10"/>
        <v>1.00064</v>
      </c>
    </row>
    <row r="37" spans="1:21" s="10" customFormat="1" ht="13.9" customHeight="1" thickBot="1" x14ac:dyDescent="0.3">
      <c r="A37" s="165">
        <v>45957</v>
      </c>
      <c r="B37" s="166" t="s">
        <v>158</v>
      </c>
      <c r="C37" s="137" t="str">
        <f>A13</f>
        <v>4:1/120%</v>
      </c>
      <c r="D37" s="137">
        <v>5</v>
      </c>
      <c r="E37" s="119">
        <v>-2.3E-2</v>
      </c>
      <c r="F37" s="120">
        <v>0.09</v>
      </c>
      <c r="G37" s="126">
        <f>E37-((B13-1)*100)</f>
        <v>-6.3330000000010628E-2</v>
      </c>
      <c r="H37" s="126">
        <f>F37+C13</f>
        <v>0.78299999999999992</v>
      </c>
      <c r="I37" s="127">
        <f t="shared" ref="I37" si="13">1-(G37/100)</f>
        <v>1.0006333000000001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0.78299999999999992</v>
      </c>
      <c r="R37" s="141">
        <f>I37</f>
        <v>1.0006333000000001</v>
      </c>
    </row>
    <row r="38" spans="1:21" s="10" customFormat="1" ht="13.9" customHeight="1" thickTop="1" x14ac:dyDescent="0.25">
      <c r="A38" s="164">
        <v>45957</v>
      </c>
      <c r="B38" s="116" t="s">
        <v>159</v>
      </c>
      <c r="C38" s="138" t="str">
        <f>A6</f>
        <v>4:1/1%</v>
      </c>
      <c r="D38" s="138">
        <v>5</v>
      </c>
      <c r="E38" s="89">
        <v>1.6E-2</v>
      </c>
      <c r="F38" s="90">
        <v>-1.8</v>
      </c>
      <c r="G38" s="128">
        <f>E38-((B6-1)*100)</f>
        <v>-6.7330000000003679E-2</v>
      </c>
      <c r="H38" s="128">
        <f>F38+C6</f>
        <v>1.0429999999999999</v>
      </c>
      <c r="I38" s="129">
        <f>1-(G38/100)</f>
        <v>1.0006733000000001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1.0429999999999999</v>
      </c>
      <c r="N38" s="12">
        <f t="shared" si="1"/>
        <v>1.0006733000000001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159</v>
      </c>
      <c r="C39" s="135" t="str">
        <f>A7</f>
        <v>4:1/5%</v>
      </c>
      <c r="D39" s="135">
        <v>5</v>
      </c>
      <c r="E39" s="79">
        <v>7.0000000000000001E-3</v>
      </c>
      <c r="F39" s="57">
        <v>-0.88</v>
      </c>
      <c r="G39" s="124">
        <f>E39-((B7-1)*100)</f>
        <v>-6.0330000000009883E-2</v>
      </c>
      <c r="H39" s="124">
        <f>F39+C7</f>
        <v>0.77700000000000002</v>
      </c>
      <c r="I39" s="125">
        <f t="shared" ref="I39:I40" si="14">1-(G39/100)</f>
        <v>1.0006033000000001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0.77700000000000002</v>
      </c>
      <c r="P39" s="12">
        <f t="shared" si="3"/>
        <v>1.0006033000000001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159</v>
      </c>
      <c r="C40" s="135" t="str">
        <f>A9</f>
        <v>4:1/20%</v>
      </c>
      <c r="D40" s="135">
        <v>5</v>
      </c>
      <c r="E40" s="79">
        <v>-1.2E-2</v>
      </c>
      <c r="F40" s="57">
        <v>0.19</v>
      </c>
      <c r="G40" s="124">
        <f>E40-((B9-1)*100)</f>
        <v>-6.199999999999449E-2</v>
      </c>
      <c r="H40" s="124">
        <f>F40+C9</f>
        <v>1.0069999999999999</v>
      </c>
      <c r="I40" s="125">
        <f t="shared" si="14"/>
        <v>1.0006199999999998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1.0069999999999999</v>
      </c>
      <c r="R40" s="12">
        <f t="shared" si="10"/>
        <v>1.0006199999999998</v>
      </c>
    </row>
    <row r="41" spans="1:21" s="10" customFormat="1" ht="13.9" customHeight="1" x14ac:dyDescent="0.25">
      <c r="A41" s="163">
        <v>45957</v>
      </c>
      <c r="B41" s="151" t="s">
        <v>159</v>
      </c>
      <c r="C41" s="135" t="str">
        <f>A12</f>
        <v>4:1/100%</v>
      </c>
      <c r="D41" s="135">
        <v>5</v>
      </c>
      <c r="E41" s="79">
        <v>-1.4999999999999999E-2</v>
      </c>
      <c r="F41" s="57">
        <v>0.3</v>
      </c>
      <c r="G41" s="124">
        <f>E41-((B12-1)*100)</f>
        <v>-5.6000000000002145E-2</v>
      </c>
      <c r="H41" s="124">
        <f>F41+C12</f>
        <v>1</v>
      </c>
      <c r="I41" s="125">
        <f>1-(G41/100)</f>
        <v>1.0005600000000001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</v>
      </c>
      <c r="R41" s="12">
        <f t="shared" si="10"/>
        <v>1.0005600000000001</v>
      </c>
    </row>
    <row r="42" spans="1:21" s="10" customFormat="1" ht="13.9" customHeight="1" thickBot="1" x14ac:dyDescent="0.3">
      <c r="A42" s="167">
        <v>45957</v>
      </c>
      <c r="B42" s="168" t="s">
        <v>159</v>
      </c>
      <c r="C42" s="139" t="str">
        <f>A13</f>
        <v>4:1/120%</v>
      </c>
      <c r="D42" s="139">
        <v>5</v>
      </c>
      <c r="E42" s="119">
        <v>-0.02</v>
      </c>
      <c r="F42" s="120">
        <v>0.75</v>
      </c>
      <c r="G42" s="130">
        <f>E42-((B13-1)*100)</f>
        <v>-6.0330000000010639E-2</v>
      </c>
      <c r="H42" s="130">
        <f>F42+C13</f>
        <v>1.4430000000000001</v>
      </c>
      <c r="I42" s="131">
        <f t="shared" ref="I42" si="16">1-(G42/100)</f>
        <v>1.0006033000000001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1.4430000000000001</v>
      </c>
      <c r="R42" s="141">
        <f>I42</f>
        <v>1.0006033000000001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9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25BF-C437-4957-A73B-9A9C4F402C69}">
  <dimension ref="A1:U43"/>
  <sheetViews>
    <sheetView showGridLines="0" view="pageBreakPreview" topLeftCell="A6" zoomScaleNormal="115" zoomScaleSheetLayoutView="100" workbookViewId="0">
      <selection activeCell="F28" sqref="F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29.2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160</v>
      </c>
      <c r="C28" s="132" t="str">
        <f>A6</f>
        <v>4:1/1%</v>
      </c>
      <c r="D28" s="133">
        <v>5</v>
      </c>
      <c r="E28" s="89">
        <v>1.7999999999999999E-2</v>
      </c>
      <c r="F28" s="90">
        <v>-3.5</v>
      </c>
      <c r="G28" s="122">
        <f>E28-((B6-1)*100)</f>
        <v>-6.5330000000003677E-2</v>
      </c>
      <c r="H28" s="122">
        <f>F28+C6</f>
        <v>-0.65700000000000003</v>
      </c>
      <c r="I28" s="123">
        <f>1-(G28/100)</f>
        <v>1.0006533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-0.65700000000000003</v>
      </c>
      <c r="N28" s="12">
        <f t="shared" ref="N28:N42" si="1">IFERROR(VLOOKUP($A$6,C28:I28,7,0),0)</f>
        <v>1.0006533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160</v>
      </c>
      <c r="C29" s="134" t="str">
        <f t="shared" ref="C29" si="4">A7</f>
        <v>4:1/5%</v>
      </c>
      <c r="D29" s="135">
        <v>5</v>
      </c>
      <c r="E29" s="79">
        <v>-1.7000000000000001E-2</v>
      </c>
      <c r="F29" s="57">
        <v>0.45</v>
      </c>
      <c r="G29" s="124">
        <f t="shared" ref="G29" si="5">E29-((B7-1)*100)</f>
        <v>-8.4330000000009883E-2</v>
      </c>
      <c r="H29" s="124">
        <f t="shared" ref="H29" si="6">F29+C7</f>
        <v>2.1070000000000002</v>
      </c>
      <c r="I29" s="125">
        <f t="shared" ref="I29:I30" si="7">1-(G29/100)</f>
        <v>1.0008433000000001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2.1070000000000002</v>
      </c>
      <c r="P29" s="12">
        <f t="shared" si="3"/>
        <v>1.0008433000000001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160</v>
      </c>
      <c r="C30" s="134" t="str">
        <f>A9</f>
        <v>4:1/20%</v>
      </c>
      <c r="D30" s="135">
        <v>5</v>
      </c>
      <c r="E30" s="79">
        <v>-3.3000000000000002E-2</v>
      </c>
      <c r="F30" s="57">
        <v>0.71</v>
      </c>
      <c r="G30" s="124">
        <f>E30-((B9-1)*100)</f>
        <v>-8.2999999999994495E-2</v>
      </c>
      <c r="H30" s="124">
        <f>F30+C9</f>
        <v>1.5269999999999999</v>
      </c>
      <c r="I30" s="125">
        <f t="shared" si="7"/>
        <v>1.0008299999999999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1.5269999999999999</v>
      </c>
      <c r="R30" s="12">
        <f>IFERROR(VLOOKUP($A$9,C30:I30,7,0),IFERROR(VLOOKUP($A$12,C30:I30,7,0),IFERROR(VLOOKUP($A$14,C30:I30,7,0),0)))</f>
        <v>1.0008299999999999</v>
      </c>
    </row>
    <row r="31" spans="1:21" s="10" customFormat="1" ht="13.9" customHeight="1" x14ac:dyDescent="0.25">
      <c r="A31" s="163">
        <v>45957</v>
      </c>
      <c r="B31" s="151" t="s">
        <v>160</v>
      </c>
      <c r="C31" s="134" t="str">
        <f>A12</f>
        <v>4:1/100%</v>
      </c>
      <c r="D31" s="135">
        <v>5</v>
      </c>
      <c r="E31" s="79">
        <v>-1.9E-2</v>
      </c>
      <c r="F31" s="57">
        <v>7.0000000000000007E-2</v>
      </c>
      <c r="G31" s="124">
        <f>E31-((B12-1)*100)</f>
        <v>-6.0000000000002149E-2</v>
      </c>
      <c r="H31" s="124">
        <f>F31+C12</f>
        <v>0.77</v>
      </c>
      <c r="I31" s="125">
        <f>1-(G31/100)</f>
        <v>1.0005999999999999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0.77</v>
      </c>
      <c r="R31" s="12">
        <f t="shared" ref="R31:R41" si="10">IFERROR(VLOOKUP($A$9,C31:I31,7,0),IFERROR(VLOOKUP($A$12,C31:I31,7,0),IFERROR(VLOOKUP($A$14,C31:I31,7,0),0)))</f>
        <v>1.0005999999999999</v>
      </c>
    </row>
    <row r="32" spans="1:21" s="10" customFormat="1" ht="13.9" customHeight="1" thickBot="1" x14ac:dyDescent="0.3">
      <c r="A32" s="165">
        <v>45957</v>
      </c>
      <c r="B32" s="166" t="s">
        <v>160</v>
      </c>
      <c r="C32" s="136" t="str">
        <f>A13</f>
        <v>4:1/120%</v>
      </c>
      <c r="D32" s="137">
        <v>5</v>
      </c>
      <c r="E32" s="119">
        <v>-2.1000000000000001E-2</v>
      </c>
      <c r="F32" s="120">
        <v>0.11</v>
      </c>
      <c r="G32" s="126">
        <f>E32-((B13-1)*100)</f>
        <v>-6.133000000001064E-2</v>
      </c>
      <c r="H32" s="126">
        <f>F32+C13</f>
        <v>0.80299999999999994</v>
      </c>
      <c r="I32" s="127">
        <f t="shared" ref="I32" si="11">1-(G32/100)</f>
        <v>1.0006133000000001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0.80299999999999994</v>
      </c>
      <c r="R32" s="141">
        <f>I32</f>
        <v>1.0006133000000001</v>
      </c>
    </row>
    <row r="33" spans="1:21" s="10" customFormat="1" ht="13.9" customHeight="1" thickTop="1" x14ac:dyDescent="0.25">
      <c r="A33" s="164">
        <v>45957</v>
      </c>
      <c r="B33" s="116" t="s">
        <v>161</v>
      </c>
      <c r="C33" s="138" t="str">
        <f>A6</f>
        <v>4:1/1%</v>
      </c>
      <c r="D33" s="138">
        <v>5</v>
      </c>
      <c r="E33" s="117">
        <v>8.9999999999999993E-3</v>
      </c>
      <c r="F33" s="118">
        <v>-1.7</v>
      </c>
      <c r="G33" s="128">
        <f>E33-((B6-1)*100)</f>
        <v>-7.4330000000003685E-2</v>
      </c>
      <c r="H33" s="128">
        <f>F33+C6</f>
        <v>1.143</v>
      </c>
      <c r="I33" s="129">
        <f>1-(G33/100)</f>
        <v>1.0007433000000001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1.143</v>
      </c>
      <c r="N33" s="12">
        <f t="shared" si="1"/>
        <v>1.0007433000000001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161</v>
      </c>
      <c r="C34" s="135" t="str">
        <f>A7</f>
        <v>4:1/5%</v>
      </c>
      <c r="D34" s="135">
        <v>5</v>
      </c>
      <c r="E34" s="79">
        <v>3.0000000000000001E-3</v>
      </c>
      <c r="F34" s="57">
        <v>-0.91</v>
      </c>
      <c r="G34" s="124">
        <f>E34-((B7-1)*100)</f>
        <v>-6.4330000000009879E-2</v>
      </c>
      <c r="H34" s="124">
        <f>F34+C7</f>
        <v>0.747</v>
      </c>
      <c r="I34" s="125">
        <f t="shared" ref="I34:I35" si="12">1-(G34/100)</f>
        <v>1.0006433000000001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0.747</v>
      </c>
      <c r="P34" s="12">
        <f t="shared" si="3"/>
        <v>1.0006433000000001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161</v>
      </c>
      <c r="C35" s="135" t="str">
        <f>A9</f>
        <v>4:1/20%</v>
      </c>
      <c r="D35" s="135">
        <v>5</v>
      </c>
      <c r="E35" s="79">
        <v>-1.2E-2</v>
      </c>
      <c r="F35" s="57">
        <v>-0.09</v>
      </c>
      <c r="G35" s="124">
        <f>E35-((B9-1)*100)</f>
        <v>-6.199999999999449E-2</v>
      </c>
      <c r="H35" s="124">
        <f>F35+C9</f>
        <v>0.72699999999999998</v>
      </c>
      <c r="I35" s="125">
        <f t="shared" si="12"/>
        <v>1.0006199999999998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0.72699999999999998</v>
      </c>
      <c r="R35" s="12">
        <f t="shared" si="10"/>
        <v>1.0006199999999998</v>
      </c>
    </row>
    <row r="36" spans="1:21" s="10" customFormat="1" ht="13.9" customHeight="1" x14ac:dyDescent="0.25">
      <c r="A36" s="163">
        <v>45957</v>
      </c>
      <c r="B36" s="151" t="s">
        <v>161</v>
      </c>
      <c r="C36" s="135" t="str">
        <f>A12</f>
        <v>4:1/100%</v>
      </c>
      <c r="D36" s="135">
        <v>5</v>
      </c>
      <c r="E36" s="79">
        <v>-5.0000000000000001E-3</v>
      </c>
      <c r="F36" s="57">
        <v>-0.01</v>
      </c>
      <c r="G36" s="124">
        <f>E36-((B12-1)*100)</f>
        <v>-4.6000000000002143E-2</v>
      </c>
      <c r="H36" s="124">
        <f>F36+C12</f>
        <v>0.69</v>
      </c>
      <c r="I36" s="125">
        <f>1-(G36/100)</f>
        <v>1.0004600000000001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0.69</v>
      </c>
      <c r="R36" s="12">
        <f t="shared" si="10"/>
        <v>1.0004600000000001</v>
      </c>
    </row>
    <row r="37" spans="1:21" s="10" customFormat="1" ht="13.9" customHeight="1" thickBot="1" x14ac:dyDescent="0.3">
      <c r="A37" s="165">
        <v>45957</v>
      </c>
      <c r="B37" s="166" t="s">
        <v>161</v>
      </c>
      <c r="C37" s="137" t="str">
        <f>A13</f>
        <v>4:1/120%</v>
      </c>
      <c r="D37" s="137">
        <v>5</v>
      </c>
      <c r="E37" s="119">
        <v>-7.0000000000000001E-3</v>
      </c>
      <c r="F37" s="120">
        <v>-0.04</v>
      </c>
      <c r="G37" s="126">
        <f>E37-((B13-1)*100)</f>
        <v>-4.7330000000010634E-2</v>
      </c>
      <c r="H37" s="126">
        <f>F37+C13</f>
        <v>0.65299999999999991</v>
      </c>
      <c r="I37" s="127">
        <f t="shared" ref="I37" si="13">1-(G37/100)</f>
        <v>1.0004733000000001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0.65299999999999991</v>
      </c>
      <c r="R37" s="141">
        <f>I37</f>
        <v>1.0004733000000001</v>
      </c>
    </row>
    <row r="38" spans="1:21" s="10" customFormat="1" ht="13.9" customHeight="1" thickTop="1" x14ac:dyDescent="0.25">
      <c r="A38" s="164">
        <v>45957</v>
      </c>
      <c r="B38" s="116" t="s">
        <v>162</v>
      </c>
      <c r="C38" s="138" t="str">
        <f>A6</f>
        <v>4:1/1%</v>
      </c>
      <c r="D38" s="138">
        <v>5</v>
      </c>
      <c r="E38" s="117">
        <v>-2E-3</v>
      </c>
      <c r="F38" s="118">
        <v>-0.75</v>
      </c>
      <c r="G38" s="128">
        <f>E38-((B6-1)*100)</f>
        <v>-8.5330000000003681E-2</v>
      </c>
      <c r="H38" s="128">
        <f>F38+C6</f>
        <v>2.093</v>
      </c>
      <c r="I38" s="129">
        <f>1-(G38/100)</f>
        <v>1.0008532999999999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2.093</v>
      </c>
      <c r="N38" s="12">
        <f t="shared" si="1"/>
        <v>1.0008532999999999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162</v>
      </c>
      <c r="C39" s="135" t="str">
        <f>A7</f>
        <v>4:1/5%</v>
      </c>
      <c r="D39" s="135">
        <v>5</v>
      </c>
      <c r="E39" s="79">
        <v>-1.4999999999999999E-2</v>
      </c>
      <c r="F39" s="57">
        <v>0.44</v>
      </c>
      <c r="G39" s="124">
        <f>E39-((B7-1)*100)</f>
        <v>-8.2330000000009881E-2</v>
      </c>
      <c r="H39" s="124">
        <f>F39+C7</f>
        <v>2.097</v>
      </c>
      <c r="I39" s="125">
        <f t="shared" ref="I39:I40" si="14">1-(G39/100)</f>
        <v>1.0008233000000002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2.097</v>
      </c>
      <c r="P39" s="12">
        <f t="shared" si="3"/>
        <v>1.0008233000000002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162</v>
      </c>
      <c r="C40" s="135" t="str">
        <f>A9</f>
        <v>4:1/20%</v>
      </c>
      <c r="D40" s="135">
        <v>5</v>
      </c>
      <c r="E40" s="79">
        <v>-3.4000000000000002E-2</v>
      </c>
      <c r="F40" s="57">
        <v>0.97</v>
      </c>
      <c r="G40" s="124">
        <f>E40-((B9-1)*100)</f>
        <v>-8.3999999999994496E-2</v>
      </c>
      <c r="H40" s="124">
        <f>F40+C9</f>
        <v>1.7869999999999999</v>
      </c>
      <c r="I40" s="125">
        <f t="shared" si="14"/>
        <v>1.00084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1.7869999999999999</v>
      </c>
      <c r="R40" s="12">
        <f t="shared" si="10"/>
        <v>1.00084</v>
      </c>
    </row>
    <row r="41" spans="1:21" s="10" customFormat="1" ht="13.9" customHeight="1" x14ac:dyDescent="0.25">
      <c r="A41" s="163">
        <v>45957</v>
      </c>
      <c r="B41" s="151" t="s">
        <v>162</v>
      </c>
      <c r="C41" s="135" t="str">
        <f>A12</f>
        <v>4:1/100%</v>
      </c>
      <c r="D41" s="135">
        <v>5</v>
      </c>
      <c r="E41" s="79">
        <v>-3.3000000000000002E-2</v>
      </c>
      <c r="F41" s="57">
        <v>0.97</v>
      </c>
      <c r="G41" s="124">
        <f>E41-((B12-1)*100)</f>
        <v>-7.4000000000002147E-2</v>
      </c>
      <c r="H41" s="124">
        <f>F41+C12</f>
        <v>1.67</v>
      </c>
      <c r="I41" s="125">
        <f>1-(G41/100)</f>
        <v>1.00074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1.67</v>
      </c>
      <c r="R41" s="12">
        <f t="shared" si="10"/>
        <v>1.00074</v>
      </c>
    </row>
    <row r="42" spans="1:21" s="10" customFormat="1" ht="13.9" customHeight="1" thickBot="1" x14ac:dyDescent="0.3">
      <c r="A42" s="167">
        <v>45957</v>
      </c>
      <c r="B42" s="168" t="s">
        <v>162</v>
      </c>
      <c r="C42" s="139" t="str">
        <f>A13</f>
        <v>4:1/120%</v>
      </c>
      <c r="D42" s="139">
        <v>5</v>
      </c>
      <c r="E42" s="80">
        <v>-4.5999999999999999E-2</v>
      </c>
      <c r="F42" s="78">
        <v>1.64</v>
      </c>
      <c r="G42" s="130">
        <f>E42-((B13-1)*100)</f>
        <v>-8.6330000000010634E-2</v>
      </c>
      <c r="H42" s="130">
        <f>F42+C13</f>
        <v>2.3329999999999997</v>
      </c>
      <c r="I42" s="131">
        <f t="shared" ref="I42" si="16">1-(G42/100)</f>
        <v>1.0008633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2.3329999999999997</v>
      </c>
      <c r="R42" s="141">
        <f>I42</f>
        <v>1.0008633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8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DDAB-E527-4A6A-A220-FB500B9AC555}">
  <sheetPr>
    <tabColor theme="0"/>
  </sheetPr>
  <dimension ref="A1:U43"/>
  <sheetViews>
    <sheetView showGridLines="0" view="pageBreakPreview" topLeftCell="A14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26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35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64">
        <v>45967</v>
      </c>
      <c r="B28" s="150" t="s">
        <v>163</v>
      </c>
      <c r="C28" s="132" t="str">
        <f>A6</f>
        <v>4:1/1%</v>
      </c>
      <c r="D28" s="133">
        <v>5</v>
      </c>
      <c r="E28" s="89">
        <v>5.0000000000000001E-3</v>
      </c>
      <c r="F28" s="90">
        <v>-2.4300000000000002</v>
      </c>
      <c r="G28" s="122">
        <f>E28-((B6-1)*100)</f>
        <v>-7.8330000000003674E-2</v>
      </c>
      <c r="H28" s="122">
        <f>F28+C6</f>
        <v>0.41299999999999981</v>
      </c>
      <c r="I28" s="123">
        <f>1-(G28/100)</f>
        <v>1.0007832999999999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0.41299999999999981</v>
      </c>
      <c r="N28" s="12">
        <f t="shared" ref="N28:N42" si="1">IFERROR(VLOOKUP($A$6,C28:I28,7,0),0)</f>
        <v>1.0007832999999999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4">
        <v>45967</v>
      </c>
      <c r="B29" s="151" t="s">
        <v>163</v>
      </c>
      <c r="C29" s="134" t="str">
        <f t="shared" ref="C29" si="4">A7</f>
        <v>4:1/5%</v>
      </c>
      <c r="D29" s="135">
        <v>5</v>
      </c>
      <c r="E29" s="79">
        <v>-1.7999999999999999E-2</v>
      </c>
      <c r="F29" s="57">
        <v>0.15</v>
      </c>
      <c r="G29" s="124">
        <f t="shared" ref="G29" si="5">E29-((B7-1)*100)</f>
        <v>-8.5330000000009884E-2</v>
      </c>
      <c r="H29" s="124">
        <f t="shared" ref="H29" si="6">F29+C7</f>
        <v>1.8069999999999999</v>
      </c>
      <c r="I29" s="125">
        <f t="shared" ref="I29:I30" si="7">1-(G29/100)</f>
        <v>1.0008533000000002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1.8069999999999999</v>
      </c>
      <c r="P29" s="12">
        <f t="shared" si="3"/>
        <v>1.0008533000000002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4">
        <v>45967</v>
      </c>
      <c r="B30" s="151" t="s">
        <v>163</v>
      </c>
      <c r="C30" s="134" t="str">
        <f>A9</f>
        <v>4:1/20%</v>
      </c>
      <c r="D30" s="135">
        <v>5</v>
      </c>
      <c r="E30" s="79">
        <v>-1.2E-2</v>
      </c>
      <c r="F30" s="57">
        <v>0.33</v>
      </c>
      <c r="G30" s="124">
        <f>E30-((B9-1)*100)</f>
        <v>-6.199999999999449E-2</v>
      </c>
      <c r="H30" s="124">
        <f>F30+C9</f>
        <v>1.147</v>
      </c>
      <c r="I30" s="125">
        <f t="shared" si="7"/>
        <v>1.0006199999999998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1.147</v>
      </c>
      <c r="R30" s="12">
        <f>IFERROR(VLOOKUP($A$9,C30:I30,7,0),IFERROR(VLOOKUP($A$12,C30:I30,7,0),IFERROR(VLOOKUP($A$14,C30:I30,7,0),0)))</f>
        <v>1.0006199999999998</v>
      </c>
    </row>
    <row r="31" spans="1:21" s="10" customFormat="1" ht="13.9" customHeight="1" x14ac:dyDescent="0.25">
      <c r="A31" s="164">
        <v>45967</v>
      </c>
      <c r="B31" s="151" t="s">
        <v>163</v>
      </c>
      <c r="C31" s="134" t="str">
        <f>A12</f>
        <v>4:1/100%</v>
      </c>
      <c r="D31" s="135">
        <v>5</v>
      </c>
      <c r="E31" s="79">
        <v>-2.1999999999999999E-2</v>
      </c>
      <c r="F31" s="57">
        <v>-0.09</v>
      </c>
      <c r="G31" s="124">
        <f>E31-((B12-1)*100)</f>
        <v>-6.3000000000002138E-2</v>
      </c>
      <c r="H31" s="124">
        <f>F31+C12</f>
        <v>0.61</v>
      </c>
      <c r="I31" s="125">
        <f>1-(G31/100)</f>
        <v>1.0006300000000001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0.61</v>
      </c>
      <c r="R31" s="12">
        <f t="shared" ref="R31:R41" si="10">IFERROR(VLOOKUP($A$9,C31:I31,7,0),IFERROR(VLOOKUP($A$12,C31:I31,7,0),IFERROR(VLOOKUP($A$14,C31:I31,7,0),0)))</f>
        <v>1.0006300000000001</v>
      </c>
    </row>
    <row r="32" spans="1:21" s="10" customFormat="1" ht="13.9" customHeight="1" thickBot="1" x14ac:dyDescent="0.3">
      <c r="A32" s="165">
        <v>45967</v>
      </c>
      <c r="B32" s="166" t="s">
        <v>163</v>
      </c>
      <c r="C32" s="136" t="str">
        <f>A13</f>
        <v>4:1/120%</v>
      </c>
      <c r="D32" s="137">
        <v>5</v>
      </c>
      <c r="E32" s="119">
        <v>-2.1000000000000001E-2</v>
      </c>
      <c r="F32" s="120">
        <v>0.13</v>
      </c>
      <c r="G32" s="126">
        <f>E32-((B13-1)*100)</f>
        <v>-6.133000000001064E-2</v>
      </c>
      <c r="H32" s="126">
        <f>F32+C13</f>
        <v>0.82299999999999995</v>
      </c>
      <c r="I32" s="127">
        <f t="shared" ref="I32" si="11">1-(G32/100)</f>
        <v>1.0006133000000001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0.82299999999999995</v>
      </c>
      <c r="R32" s="141">
        <f>I32</f>
        <v>1.0006133000000001</v>
      </c>
    </row>
    <row r="33" spans="1:21" s="10" customFormat="1" ht="13.9" customHeight="1" thickTop="1" x14ac:dyDescent="0.25">
      <c r="A33" s="164">
        <v>45967</v>
      </c>
      <c r="B33" s="116" t="s">
        <v>164</v>
      </c>
      <c r="C33" s="138" t="str">
        <f>A6</f>
        <v>4:1/1%</v>
      </c>
      <c r="D33" s="138">
        <v>5</v>
      </c>
      <c r="E33" s="117">
        <v>0.02</v>
      </c>
      <c r="F33" s="118">
        <v>-3.2</v>
      </c>
      <c r="G33" s="128">
        <f>E33-((B6-1)*100)</f>
        <v>-6.3330000000003675E-2</v>
      </c>
      <c r="H33" s="128">
        <f>F33+C6</f>
        <v>-0.35700000000000021</v>
      </c>
      <c r="I33" s="129">
        <f>1-(G33/100)</f>
        <v>1.0006333000000001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-0.35700000000000021</v>
      </c>
      <c r="N33" s="12">
        <f t="shared" si="1"/>
        <v>1.0006333000000001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4">
        <v>45967</v>
      </c>
      <c r="B34" s="151" t="s">
        <v>164</v>
      </c>
      <c r="C34" s="135" t="str">
        <f>A7</f>
        <v>4:1/5%</v>
      </c>
      <c r="D34" s="135">
        <v>5</v>
      </c>
      <c r="E34" s="79">
        <v>-2E-3</v>
      </c>
      <c r="F34" s="57">
        <v>-0.41</v>
      </c>
      <c r="G34" s="124">
        <f>E34-((B7-1)*100)</f>
        <v>-6.9330000000009884E-2</v>
      </c>
      <c r="H34" s="124">
        <f>F34+C7</f>
        <v>1.2470000000000001</v>
      </c>
      <c r="I34" s="125">
        <f t="shared" ref="I34:I35" si="12">1-(G34/100)</f>
        <v>1.0006933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1.2470000000000001</v>
      </c>
      <c r="P34" s="12">
        <f t="shared" si="3"/>
        <v>1.0006933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4">
        <v>45967</v>
      </c>
      <c r="B35" s="151" t="s">
        <v>164</v>
      </c>
      <c r="C35" s="135" t="str">
        <f>A9</f>
        <v>4:1/20%</v>
      </c>
      <c r="D35" s="135">
        <v>5</v>
      </c>
      <c r="E35" s="79">
        <v>1.9E-2</v>
      </c>
      <c r="F35" s="57">
        <v>0.27</v>
      </c>
      <c r="G35" s="124">
        <f>E35-((B9-1)*100)</f>
        <v>-3.0999999999994494E-2</v>
      </c>
      <c r="H35" s="124">
        <f>F35+C9</f>
        <v>1.087</v>
      </c>
      <c r="I35" s="125">
        <f t="shared" si="12"/>
        <v>1.00031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1.087</v>
      </c>
      <c r="R35" s="12">
        <f t="shared" si="10"/>
        <v>1.00031</v>
      </c>
    </row>
    <row r="36" spans="1:21" s="10" customFormat="1" ht="13.9" customHeight="1" x14ac:dyDescent="0.25">
      <c r="A36" s="164">
        <v>45967</v>
      </c>
      <c r="B36" s="151" t="s">
        <v>164</v>
      </c>
      <c r="C36" s="135" t="str">
        <f>A12</f>
        <v>4:1/100%</v>
      </c>
      <c r="D36" s="135">
        <v>5</v>
      </c>
      <c r="E36" s="79">
        <v>-1.0999999999999999E-2</v>
      </c>
      <c r="F36" s="57">
        <v>-7.0000000000000007E-2</v>
      </c>
      <c r="G36" s="124">
        <f>E36-((B12-1)*100)</f>
        <v>-5.2000000000002142E-2</v>
      </c>
      <c r="H36" s="124">
        <f>F36+C12</f>
        <v>0.62999999999999989</v>
      </c>
      <c r="I36" s="125">
        <f>1-(G36/100)</f>
        <v>1.0005200000000001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0.62999999999999989</v>
      </c>
      <c r="R36" s="12">
        <f t="shared" si="10"/>
        <v>1.0005200000000001</v>
      </c>
    </row>
    <row r="37" spans="1:21" s="10" customFormat="1" ht="13.9" customHeight="1" thickBot="1" x14ac:dyDescent="0.3">
      <c r="A37" s="165">
        <v>45967</v>
      </c>
      <c r="B37" s="166" t="s">
        <v>164</v>
      </c>
      <c r="C37" s="137" t="str">
        <f>A13</f>
        <v>4:1/120%</v>
      </c>
      <c r="D37" s="137">
        <v>5</v>
      </c>
      <c r="E37" s="119">
        <v>-1.0999999999999999E-2</v>
      </c>
      <c r="F37" s="120">
        <v>-0.13</v>
      </c>
      <c r="G37" s="126">
        <f>E37-((B13-1)*100)</f>
        <v>-5.1330000000010631E-2</v>
      </c>
      <c r="H37" s="126">
        <f>F37+C13</f>
        <v>0.56299999999999994</v>
      </c>
      <c r="I37" s="127">
        <f t="shared" ref="I37" si="13">1-(G37/100)</f>
        <v>1.0005133000000002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0.56299999999999994</v>
      </c>
      <c r="R37" s="141">
        <f>I37</f>
        <v>1.0005133000000002</v>
      </c>
    </row>
    <row r="38" spans="1:21" s="10" customFormat="1" ht="13.9" customHeight="1" thickTop="1" x14ac:dyDescent="0.25">
      <c r="A38" s="164">
        <v>45967</v>
      </c>
      <c r="B38" s="116" t="s">
        <v>165</v>
      </c>
      <c r="C38" s="138" t="str">
        <f>A6</f>
        <v>4:1/1%</v>
      </c>
      <c r="D38" s="138">
        <v>5</v>
      </c>
      <c r="E38" s="117">
        <v>1E-3</v>
      </c>
      <c r="F38" s="118">
        <v>-0.78</v>
      </c>
      <c r="G38" s="128">
        <f>E38-((B6-1)*100)</f>
        <v>-8.2330000000003678E-2</v>
      </c>
      <c r="H38" s="128">
        <f>F38+C6</f>
        <v>2.0629999999999997</v>
      </c>
      <c r="I38" s="129">
        <f>1-(G38/100)</f>
        <v>1.0008233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2.0629999999999997</v>
      </c>
      <c r="N38" s="12">
        <f t="shared" si="1"/>
        <v>1.0008233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4">
        <v>45967</v>
      </c>
      <c r="B39" s="151" t="s">
        <v>165</v>
      </c>
      <c r="C39" s="135" t="str">
        <f>A7</f>
        <v>4:1/5%</v>
      </c>
      <c r="D39" s="135">
        <v>5</v>
      </c>
      <c r="E39" s="79">
        <v>-1.2999999999999999E-2</v>
      </c>
      <c r="F39" s="57">
        <v>0.37</v>
      </c>
      <c r="G39" s="124">
        <f>E39-((B7-1)*100)</f>
        <v>-8.033000000000988E-2</v>
      </c>
      <c r="H39" s="124">
        <f>F39+C7</f>
        <v>2.0270000000000001</v>
      </c>
      <c r="I39" s="125">
        <f t="shared" ref="I39:I40" si="14">1-(G39/100)</f>
        <v>1.0008033000000001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2.0270000000000001</v>
      </c>
      <c r="P39" s="12">
        <f t="shared" si="3"/>
        <v>1.0008033000000001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4">
        <v>45967</v>
      </c>
      <c r="B40" s="151" t="s">
        <v>165</v>
      </c>
      <c r="C40" s="135" t="str">
        <f>A9</f>
        <v>4:1/20%</v>
      </c>
      <c r="D40" s="135">
        <v>5</v>
      </c>
      <c r="E40" s="79">
        <v>-0.03</v>
      </c>
      <c r="F40" s="57">
        <v>0.93</v>
      </c>
      <c r="G40" s="124">
        <f>E40-((B9-1)*100)</f>
        <v>-7.9999999999994492E-2</v>
      </c>
      <c r="H40" s="124">
        <f>F40+C9</f>
        <v>1.7469999999999999</v>
      </c>
      <c r="I40" s="125">
        <f t="shared" si="14"/>
        <v>1.0007999999999999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1.7469999999999999</v>
      </c>
      <c r="R40" s="12">
        <f t="shared" si="10"/>
        <v>1.0007999999999999</v>
      </c>
    </row>
    <row r="41" spans="1:21" s="10" customFormat="1" ht="13.9" customHeight="1" x14ac:dyDescent="0.25">
      <c r="A41" s="164">
        <v>45967</v>
      </c>
      <c r="B41" s="151" t="s">
        <v>165</v>
      </c>
      <c r="C41" s="135" t="str">
        <f>A12</f>
        <v>4:1/100%</v>
      </c>
      <c r="D41" s="135">
        <v>5</v>
      </c>
      <c r="E41" s="79">
        <v>-2.1999999999999999E-2</v>
      </c>
      <c r="F41" s="57">
        <v>0.53</v>
      </c>
      <c r="G41" s="124">
        <f>E41-((B12-1)*100)</f>
        <v>-6.3000000000002138E-2</v>
      </c>
      <c r="H41" s="124">
        <f>F41+C12</f>
        <v>1.23</v>
      </c>
      <c r="I41" s="125">
        <f>1-(G41/100)</f>
        <v>1.0006300000000001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1.23</v>
      </c>
      <c r="R41" s="12">
        <f t="shared" si="10"/>
        <v>1.0006300000000001</v>
      </c>
    </row>
    <row r="42" spans="1:21" s="10" customFormat="1" ht="13.9" customHeight="1" thickBot="1" x14ac:dyDescent="0.3">
      <c r="A42" s="164">
        <v>45967</v>
      </c>
      <c r="B42" s="168" t="s">
        <v>165</v>
      </c>
      <c r="C42" s="139" t="str">
        <f>A13</f>
        <v>4:1/120%</v>
      </c>
      <c r="D42" s="139">
        <v>5</v>
      </c>
      <c r="E42" s="80">
        <v>-2.3E-2</v>
      </c>
      <c r="F42" s="78">
        <v>0.56999999999999995</v>
      </c>
      <c r="G42" s="130">
        <f>E42-((B13-1)*100)</f>
        <v>-6.3330000000010628E-2</v>
      </c>
      <c r="H42" s="130">
        <f>F42+C13</f>
        <v>1.2629999999999999</v>
      </c>
      <c r="I42" s="131">
        <f t="shared" ref="I42" si="16">1-(G42/100)</f>
        <v>1.0006333000000001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1.2629999999999999</v>
      </c>
      <c r="R42" s="141">
        <f>I42</f>
        <v>1.0006333000000001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7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D8E7-F203-4FE7-877E-452937FE4EFE}">
  <sheetPr>
    <tabColor theme="0"/>
  </sheetPr>
  <dimension ref="A1:U43"/>
  <sheetViews>
    <sheetView showGridLines="0" tabSelected="1" view="pageBreakPreview" topLeftCell="A10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26.3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35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45967</v>
      </c>
      <c r="B28" s="150" t="s">
        <v>166</v>
      </c>
      <c r="C28" s="132" t="str">
        <f>A6</f>
        <v>4:1/1%</v>
      </c>
      <c r="D28" s="133">
        <v>5</v>
      </c>
      <c r="E28" s="89">
        <v>8.0000000000000002E-3</v>
      </c>
      <c r="F28" s="90">
        <v>-3.12</v>
      </c>
      <c r="G28" s="122">
        <f>E28-((B6-1)*100)</f>
        <v>-7.5330000000003672E-2</v>
      </c>
      <c r="H28" s="122">
        <f>F28+C6</f>
        <v>-0.27700000000000014</v>
      </c>
      <c r="I28" s="123">
        <f>1-(G28/100)</f>
        <v>1.0007533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-0.27700000000000014</v>
      </c>
      <c r="N28" s="12">
        <f t="shared" ref="N28:N42" si="1">IFERROR(VLOOKUP($A$6,C28:I28,7,0),0)</f>
        <v>1.0007533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45967</v>
      </c>
      <c r="B29" s="151" t="s">
        <v>166</v>
      </c>
      <c r="C29" s="134" t="str">
        <f t="shared" ref="C29" si="4">A7</f>
        <v>4:1/5%</v>
      </c>
      <c r="D29" s="135">
        <v>5</v>
      </c>
      <c r="E29" s="79">
        <v>-1.2E-2</v>
      </c>
      <c r="F29" s="57">
        <v>-0.21</v>
      </c>
      <c r="G29" s="124">
        <f t="shared" ref="G29" si="5">E29-((B7-1)*100)</f>
        <v>-7.9330000000009879E-2</v>
      </c>
      <c r="H29" s="124">
        <f t="shared" ref="H29" si="6">F29+C7</f>
        <v>1.4470000000000001</v>
      </c>
      <c r="I29" s="125">
        <f t="shared" ref="I29:I30" si="7">1-(G29/100)</f>
        <v>1.0007933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1.4470000000000001</v>
      </c>
      <c r="P29" s="12">
        <f t="shared" si="3"/>
        <v>1.0007933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45967</v>
      </c>
      <c r="B30" s="151" t="s">
        <v>166</v>
      </c>
      <c r="C30" s="134" t="str">
        <f>A9</f>
        <v>4:1/20%</v>
      </c>
      <c r="D30" s="135">
        <v>5</v>
      </c>
      <c r="E30" s="79">
        <v>7.0000000000000001E-3</v>
      </c>
      <c r="F30" s="57">
        <v>0.32</v>
      </c>
      <c r="G30" s="124">
        <f>E30-((B9-1)*100)</f>
        <v>-4.2999999999994494E-2</v>
      </c>
      <c r="H30" s="124">
        <f>F30+C9</f>
        <v>1.137</v>
      </c>
      <c r="I30" s="125">
        <f t="shared" si="7"/>
        <v>1.0004299999999999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1.137</v>
      </c>
      <c r="R30" s="12">
        <f>IFERROR(VLOOKUP($A$9,C30:I30,7,0),IFERROR(VLOOKUP($A$12,C30:I30,7,0),IFERROR(VLOOKUP($A$14,C30:I30,7,0),0)))</f>
        <v>1.0004299999999999</v>
      </c>
    </row>
    <row r="31" spans="1:21" s="10" customFormat="1" ht="13.9" customHeight="1" x14ac:dyDescent="0.25">
      <c r="A31" s="163">
        <v>45967</v>
      </c>
      <c r="B31" s="151" t="s">
        <v>166</v>
      </c>
      <c r="C31" s="134" t="str">
        <f>A12</f>
        <v>4:1/100%</v>
      </c>
      <c r="D31" s="135">
        <v>5</v>
      </c>
      <c r="E31" s="79">
        <v>-1.6E-2</v>
      </c>
      <c r="F31" s="57">
        <v>0.05</v>
      </c>
      <c r="G31" s="124">
        <f>E31-((B12-1)*100)</f>
        <v>-5.7000000000002146E-2</v>
      </c>
      <c r="H31" s="124">
        <f>F31+C12</f>
        <v>0.75</v>
      </c>
      <c r="I31" s="125">
        <f>1-(G31/100)</f>
        <v>1.00057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0.75</v>
      </c>
      <c r="R31" s="12">
        <f t="shared" ref="R31:R41" si="10">IFERROR(VLOOKUP($A$9,C31:I31,7,0),IFERROR(VLOOKUP($A$12,C31:I31,7,0),IFERROR(VLOOKUP($A$14,C31:I31,7,0),0)))</f>
        <v>1.00057</v>
      </c>
    </row>
    <row r="32" spans="1:21" s="10" customFormat="1" ht="13.9" customHeight="1" thickBot="1" x14ac:dyDescent="0.3">
      <c r="A32" s="165">
        <v>45967</v>
      </c>
      <c r="B32" s="166" t="s">
        <v>166</v>
      </c>
      <c r="C32" s="136" t="str">
        <f>A13</f>
        <v>4:1/120%</v>
      </c>
      <c r="D32" s="137">
        <v>5</v>
      </c>
      <c r="E32" s="119">
        <v>-1.7000000000000001E-2</v>
      </c>
      <c r="F32" s="120">
        <v>0.05</v>
      </c>
      <c r="G32" s="126">
        <f>E32-((B13-1)*100)</f>
        <v>-5.7330000000010636E-2</v>
      </c>
      <c r="H32" s="126">
        <f>F32+C13</f>
        <v>0.74299999999999999</v>
      </c>
      <c r="I32" s="127">
        <f t="shared" ref="I32" si="11">1-(G32/100)</f>
        <v>1.0005733000000001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0.74299999999999999</v>
      </c>
      <c r="R32" s="141">
        <f>I32</f>
        <v>1.0005733000000001</v>
      </c>
    </row>
    <row r="33" spans="1:21" s="10" customFormat="1" ht="13.9" customHeight="1" thickTop="1" x14ac:dyDescent="0.25">
      <c r="A33" s="164">
        <v>45967</v>
      </c>
      <c r="B33" s="116" t="s">
        <v>167</v>
      </c>
      <c r="C33" s="138" t="str">
        <f>A6</f>
        <v>4:1/1%</v>
      </c>
      <c r="D33" s="138">
        <v>5</v>
      </c>
      <c r="E33" s="117">
        <v>1.7999999999999999E-2</v>
      </c>
      <c r="F33" s="118">
        <v>-3.19</v>
      </c>
      <c r="G33" s="128">
        <f>E33-((B6-1)*100)</f>
        <v>-6.5330000000003677E-2</v>
      </c>
      <c r="H33" s="128">
        <f>F33+C6</f>
        <v>-0.34699999999999998</v>
      </c>
      <c r="I33" s="129">
        <f>1-(G33/100)</f>
        <v>1.0006533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-0.34699999999999998</v>
      </c>
      <c r="N33" s="12">
        <f t="shared" si="1"/>
        <v>1.0006533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45967</v>
      </c>
      <c r="B34" s="151" t="s">
        <v>167</v>
      </c>
      <c r="C34" s="135" t="str">
        <f>A7</f>
        <v>4:1/5%</v>
      </c>
      <c r="D34" s="135">
        <v>5</v>
      </c>
      <c r="E34" s="79">
        <v>-5.0000000000000001E-3</v>
      </c>
      <c r="F34" s="57">
        <v>-0.56000000000000005</v>
      </c>
      <c r="G34" s="124">
        <f>E34-((B7-1)*100)</f>
        <v>-7.2330000000009886E-2</v>
      </c>
      <c r="H34" s="124">
        <f>F34+C7</f>
        <v>1.097</v>
      </c>
      <c r="I34" s="125">
        <f t="shared" ref="I34:I35" si="12">1-(G34/100)</f>
        <v>1.0007233000000002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1.097</v>
      </c>
      <c r="P34" s="12">
        <f t="shared" si="3"/>
        <v>1.0007233000000002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45967</v>
      </c>
      <c r="B35" s="151" t="s">
        <v>167</v>
      </c>
      <c r="C35" s="135" t="str">
        <f>A9</f>
        <v>4:1/20%</v>
      </c>
      <c r="D35" s="135">
        <v>5</v>
      </c>
      <c r="E35" s="79">
        <v>-2.3E-2</v>
      </c>
      <c r="F35" s="57">
        <v>0.26</v>
      </c>
      <c r="G35" s="124">
        <f>E35-((B9-1)*100)</f>
        <v>-7.2999999999994486E-2</v>
      </c>
      <c r="H35" s="124">
        <f>F35+C9</f>
        <v>1.077</v>
      </c>
      <c r="I35" s="125">
        <f t="shared" si="12"/>
        <v>1.0007299999999999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1.077</v>
      </c>
      <c r="R35" s="12">
        <f t="shared" si="10"/>
        <v>1.0007299999999999</v>
      </c>
    </row>
    <row r="36" spans="1:21" s="10" customFormat="1" ht="13.9" customHeight="1" x14ac:dyDescent="0.25">
      <c r="A36" s="163">
        <v>45967</v>
      </c>
      <c r="B36" s="151" t="s">
        <v>167</v>
      </c>
      <c r="C36" s="135" t="str">
        <f>A12</f>
        <v>4:1/100%</v>
      </c>
      <c r="D36" s="135">
        <v>5</v>
      </c>
      <c r="E36" s="79">
        <v>-2.1000000000000001E-2</v>
      </c>
      <c r="F36" s="57">
        <v>-0.08</v>
      </c>
      <c r="G36" s="124">
        <f>E36-((B12-1)*100)</f>
        <v>-6.2000000000002151E-2</v>
      </c>
      <c r="H36" s="124">
        <f>F36+C12</f>
        <v>0.62</v>
      </c>
      <c r="I36" s="125">
        <f>1-(G36/100)</f>
        <v>1.0006200000000001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0.62</v>
      </c>
      <c r="R36" s="12">
        <f t="shared" si="10"/>
        <v>1.0006200000000001</v>
      </c>
    </row>
    <row r="37" spans="1:21" s="10" customFormat="1" ht="13.9" customHeight="1" thickBot="1" x14ac:dyDescent="0.3">
      <c r="A37" s="165">
        <v>45967</v>
      </c>
      <c r="B37" s="166" t="s">
        <v>167</v>
      </c>
      <c r="C37" s="137" t="str">
        <f>A13</f>
        <v>4:1/120%</v>
      </c>
      <c r="D37" s="137">
        <v>5</v>
      </c>
      <c r="E37" s="119">
        <v>-2.1999999999999999E-2</v>
      </c>
      <c r="F37" s="120">
        <v>-0.14000000000000001</v>
      </c>
      <c r="G37" s="126">
        <f>E37-((B13-1)*100)</f>
        <v>-6.2330000000010634E-2</v>
      </c>
      <c r="H37" s="126">
        <f>F37+C13</f>
        <v>0.55299999999999994</v>
      </c>
      <c r="I37" s="127">
        <f t="shared" ref="I37" si="13">1-(G37/100)</f>
        <v>1.0006233000000002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0.55299999999999994</v>
      </c>
      <c r="R37" s="141">
        <f>I37</f>
        <v>1.0006233000000002</v>
      </c>
    </row>
    <row r="38" spans="1:21" s="10" customFormat="1" ht="13.9" customHeight="1" thickTop="1" x14ac:dyDescent="0.25">
      <c r="A38" s="164">
        <v>45967</v>
      </c>
      <c r="B38" s="116" t="s">
        <v>168</v>
      </c>
      <c r="C38" s="138" t="str">
        <f>A6</f>
        <v>4:1/1%</v>
      </c>
      <c r="D38" s="138">
        <v>5</v>
      </c>
      <c r="E38" s="117">
        <v>-4.0000000000000001E-3</v>
      </c>
      <c r="F38" s="118">
        <v>-0.4</v>
      </c>
      <c r="G38" s="128">
        <f>E38-((B6-1)*100)</f>
        <v>-8.7330000000003682E-2</v>
      </c>
      <c r="H38" s="128">
        <f>F38+C6</f>
        <v>2.4430000000000001</v>
      </c>
      <c r="I38" s="129">
        <f>1-(G38/100)</f>
        <v>1.0008733000000001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2.4430000000000001</v>
      </c>
      <c r="N38" s="12">
        <f t="shared" si="1"/>
        <v>1.0008733000000001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45967</v>
      </c>
      <c r="B39" s="151" t="s">
        <v>168</v>
      </c>
      <c r="C39" s="135" t="str">
        <f>A7</f>
        <v>4:1/5%</v>
      </c>
      <c r="D39" s="135">
        <v>5</v>
      </c>
      <c r="E39" s="79">
        <v>-1.4E-2</v>
      </c>
      <c r="F39" s="57">
        <v>0.53</v>
      </c>
      <c r="G39" s="124">
        <f>E39-((B7-1)*100)</f>
        <v>-8.1330000000009881E-2</v>
      </c>
      <c r="H39" s="124">
        <f>F39+C7</f>
        <v>2.1870000000000003</v>
      </c>
      <c r="I39" s="125">
        <f t="shared" ref="I39:I40" si="14">1-(G39/100)</f>
        <v>1.0008133000000001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2.1870000000000003</v>
      </c>
      <c r="P39" s="12">
        <f t="shared" si="3"/>
        <v>1.0008133000000001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45967</v>
      </c>
      <c r="B40" s="151" t="s">
        <v>168</v>
      </c>
      <c r="C40" s="135" t="str">
        <f>A9</f>
        <v>4:1/20%</v>
      </c>
      <c r="D40" s="135">
        <v>5</v>
      </c>
      <c r="E40" s="79">
        <v>-0.03</v>
      </c>
      <c r="F40" s="57">
        <v>0.92</v>
      </c>
      <c r="G40" s="124">
        <f>E40-((B9-1)*100)</f>
        <v>-7.9999999999994492E-2</v>
      </c>
      <c r="H40" s="124">
        <f>F40+C9</f>
        <v>1.7370000000000001</v>
      </c>
      <c r="I40" s="125">
        <f t="shared" si="14"/>
        <v>1.0007999999999999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1.7370000000000001</v>
      </c>
      <c r="R40" s="12">
        <f t="shared" si="10"/>
        <v>1.0007999999999999</v>
      </c>
    </row>
    <row r="41" spans="1:21" s="10" customFormat="1" ht="13.9" customHeight="1" x14ac:dyDescent="0.25">
      <c r="A41" s="163">
        <v>45967</v>
      </c>
      <c r="B41" s="151" t="s">
        <v>168</v>
      </c>
      <c r="C41" s="135" t="str">
        <f>A12</f>
        <v>4:1/100%</v>
      </c>
      <c r="D41" s="135">
        <v>5</v>
      </c>
      <c r="E41" s="79">
        <v>-2.5999999999999999E-2</v>
      </c>
      <c r="F41" s="57">
        <v>0.56999999999999995</v>
      </c>
      <c r="G41" s="124">
        <f>E41-((B12-1)*100)</f>
        <v>-6.7000000000002141E-2</v>
      </c>
      <c r="H41" s="124">
        <f>F41+C12</f>
        <v>1.27</v>
      </c>
      <c r="I41" s="125">
        <f>1-(G41/100)</f>
        <v>1.0006699999999999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1.27</v>
      </c>
      <c r="R41" s="12">
        <f t="shared" si="10"/>
        <v>1.0006699999999999</v>
      </c>
    </row>
    <row r="42" spans="1:21" s="10" customFormat="1" ht="13.9" customHeight="1" thickBot="1" x14ac:dyDescent="0.3">
      <c r="A42" s="167">
        <v>45967</v>
      </c>
      <c r="B42" s="168" t="s">
        <v>168</v>
      </c>
      <c r="C42" s="139" t="str">
        <f>A13</f>
        <v>4:1/120%</v>
      </c>
      <c r="D42" s="139">
        <v>5</v>
      </c>
      <c r="E42" s="80">
        <v>-2.9000000000000001E-2</v>
      </c>
      <c r="F42" s="78">
        <v>0.86</v>
      </c>
      <c r="G42" s="130">
        <f>E42-((B13-1)*100)</f>
        <v>-6.9330000000010633E-2</v>
      </c>
      <c r="H42" s="130">
        <f>F42+C13</f>
        <v>1.5529999999999999</v>
      </c>
      <c r="I42" s="131">
        <f t="shared" ref="I42" si="16">1-(G42/100)</f>
        <v>1.0006933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1.5529999999999999</v>
      </c>
      <c r="R42" s="141">
        <f>I42</f>
        <v>1.0006933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6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F40B-BF61-4094-A71A-D4275508B868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24.9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42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45964</v>
      </c>
      <c r="B28" s="150" t="s">
        <v>169</v>
      </c>
      <c r="C28" s="132" t="str">
        <f>A6</f>
        <v>4:1/1%</v>
      </c>
      <c r="D28" s="133">
        <v>5</v>
      </c>
      <c r="E28" s="89">
        <v>2.1000000000000001E-2</v>
      </c>
      <c r="F28" s="90">
        <v>-2.91</v>
      </c>
      <c r="G28" s="122">
        <f>E28-((B6-1)*100)</f>
        <v>-6.2330000000003674E-2</v>
      </c>
      <c r="H28" s="122">
        <f>F28+C6</f>
        <v>-6.7000000000000171E-2</v>
      </c>
      <c r="I28" s="123">
        <f>1-(G28/100)</f>
        <v>1.0006233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-6.7000000000000171E-2</v>
      </c>
      <c r="N28" s="12">
        <f t="shared" ref="N28:N42" si="1">IFERROR(VLOOKUP($A$6,C28:I28,7,0),0)</f>
        <v>1.0006233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45964</v>
      </c>
      <c r="B29" s="151" t="s">
        <v>169</v>
      </c>
      <c r="C29" s="134" t="str">
        <f t="shared" ref="C29" si="4">A7</f>
        <v>4:1/5%</v>
      </c>
      <c r="D29" s="135">
        <v>5</v>
      </c>
      <c r="E29" s="79">
        <v>-1.0999999999999999E-2</v>
      </c>
      <c r="F29" s="57">
        <v>0.33</v>
      </c>
      <c r="G29" s="124">
        <f t="shared" ref="G29" si="5">E29-((B7-1)*100)</f>
        <v>-7.8330000000009878E-2</v>
      </c>
      <c r="H29" s="124">
        <f t="shared" ref="H29" si="6">F29+C7</f>
        <v>1.9870000000000001</v>
      </c>
      <c r="I29" s="125">
        <f t="shared" ref="I29:I30" si="7">1-(G29/100)</f>
        <v>1.0007833000000002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1.9870000000000001</v>
      </c>
      <c r="P29" s="12">
        <f t="shared" si="3"/>
        <v>1.0007833000000002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45964</v>
      </c>
      <c r="B30" s="151" t="s">
        <v>169</v>
      </c>
      <c r="C30" s="134" t="str">
        <f>A9</f>
        <v>4:1/20%</v>
      </c>
      <c r="D30" s="135">
        <v>5</v>
      </c>
      <c r="E30" s="79">
        <v>-6.0000000000000001E-3</v>
      </c>
      <c r="F30" s="57">
        <v>0.98</v>
      </c>
      <c r="G30" s="124">
        <f>E30-((B9-1)*100)</f>
        <v>-5.5999999999994492E-2</v>
      </c>
      <c r="H30" s="124">
        <f>F30+C9</f>
        <v>1.7969999999999999</v>
      </c>
      <c r="I30" s="125">
        <f t="shared" si="7"/>
        <v>1.0005599999999999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1.7969999999999999</v>
      </c>
      <c r="R30" s="12">
        <f>IFERROR(VLOOKUP($A$9,C30:I30,7,0),IFERROR(VLOOKUP($A$12,C30:I30,7,0),IFERROR(VLOOKUP($A$14,C30:I30,7,0),0)))</f>
        <v>1.0005599999999999</v>
      </c>
    </row>
    <row r="31" spans="1:21" s="10" customFormat="1" ht="13.9" customHeight="1" x14ac:dyDescent="0.25">
      <c r="A31" s="163">
        <v>45964</v>
      </c>
      <c r="B31" s="151" t="s">
        <v>169</v>
      </c>
      <c r="C31" s="134" t="str">
        <f>A12</f>
        <v>4:1/100%</v>
      </c>
      <c r="D31" s="135">
        <v>5</v>
      </c>
      <c r="E31" s="79">
        <v>-2.5000000000000001E-2</v>
      </c>
      <c r="F31" s="57">
        <v>0.59</v>
      </c>
      <c r="G31" s="124">
        <f>E31-((B12-1)*100)</f>
        <v>-6.600000000000214E-2</v>
      </c>
      <c r="H31" s="124">
        <f>F31+C12</f>
        <v>1.29</v>
      </c>
      <c r="I31" s="125">
        <f>1-(G31/100)</f>
        <v>1.0006600000000001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1.29</v>
      </c>
      <c r="R31" s="12">
        <f t="shared" ref="R31:R41" si="10">IFERROR(VLOOKUP($A$9,C31:I31,7,0),IFERROR(VLOOKUP($A$12,C31:I31,7,0),IFERROR(VLOOKUP($A$14,C31:I31,7,0),0)))</f>
        <v>1.0006600000000001</v>
      </c>
    </row>
    <row r="32" spans="1:21" s="10" customFormat="1" ht="13.9" customHeight="1" thickBot="1" x14ac:dyDescent="0.3">
      <c r="A32" s="165">
        <v>45964</v>
      </c>
      <c r="B32" s="166" t="s">
        <v>169</v>
      </c>
      <c r="C32" s="136" t="str">
        <f>A13</f>
        <v>4:1/120%</v>
      </c>
      <c r="D32" s="137">
        <v>5</v>
      </c>
      <c r="E32" s="119">
        <v>-2.7E-2</v>
      </c>
      <c r="F32" s="120">
        <v>0.85</v>
      </c>
      <c r="G32" s="126">
        <f>E32-((B13-1)*100)</f>
        <v>-6.7330000000010631E-2</v>
      </c>
      <c r="H32" s="126">
        <f>F32+C13</f>
        <v>1.5429999999999999</v>
      </c>
      <c r="I32" s="127">
        <f t="shared" ref="I32" si="11">1-(G32/100)</f>
        <v>1.0006733000000001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1.5429999999999999</v>
      </c>
      <c r="R32" s="141">
        <f>I32</f>
        <v>1.0006733000000001</v>
      </c>
    </row>
    <row r="33" spans="1:21" s="10" customFormat="1" ht="13.9" customHeight="1" thickTop="1" x14ac:dyDescent="0.25">
      <c r="A33" s="164">
        <v>45964</v>
      </c>
      <c r="B33" s="116" t="s">
        <v>170</v>
      </c>
      <c r="C33" s="138" t="str">
        <f>A6</f>
        <v>4:1/1%</v>
      </c>
      <c r="D33" s="138">
        <v>5</v>
      </c>
      <c r="E33" s="117">
        <v>3.7999999999999999E-2</v>
      </c>
      <c r="F33" s="118">
        <v>-4.3</v>
      </c>
      <c r="G33" s="128">
        <f>E33-((B6-1)*100)</f>
        <v>-4.533000000000368E-2</v>
      </c>
      <c r="H33" s="128">
        <f>F33+C6</f>
        <v>-1.4569999999999999</v>
      </c>
      <c r="I33" s="129">
        <f>1-(G33/100)</f>
        <v>1.0004533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-1.4569999999999999</v>
      </c>
      <c r="N33" s="12">
        <f t="shared" si="1"/>
        <v>1.0004533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45964</v>
      </c>
      <c r="B34" s="151" t="s">
        <v>170</v>
      </c>
      <c r="C34" s="135" t="str">
        <f>A7</f>
        <v>4:1/5%</v>
      </c>
      <c r="D34" s="135">
        <v>5</v>
      </c>
      <c r="E34" s="79">
        <v>-6.0000000000000001E-3</v>
      </c>
      <c r="F34" s="57">
        <v>0.13</v>
      </c>
      <c r="G34" s="124">
        <f>E34-((B7-1)*100)</f>
        <v>-7.3330000000009887E-2</v>
      </c>
      <c r="H34" s="124">
        <f>F34+C7</f>
        <v>1.7869999999999999</v>
      </c>
      <c r="I34" s="125">
        <f t="shared" ref="I34:I35" si="12">1-(G34/100)</f>
        <v>1.0007333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1.7869999999999999</v>
      </c>
      <c r="P34" s="12">
        <f t="shared" si="3"/>
        <v>1.0007333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45964</v>
      </c>
      <c r="B35" s="151" t="s">
        <v>170</v>
      </c>
      <c r="C35" s="135" t="str">
        <f>A9</f>
        <v>4:1/20%</v>
      </c>
      <c r="D35" s="135">
        <v>5</v>
      </c>
      <c r="E35" s="79">
        <v>-2.7E-2</v>
      </c>
      <c r="F35" s="57">
        <v>0.76</v>
      </c>
      <c r="G35" s="124">
        <f>E35-((B9-1)*100)</f>
        <v>-7.699999999999449E-2</v>
      </c>
      <c r="H35" s="124">
        <f>F35+C9</f>
        <v>1.577</v>
      </c>
      <c r="I35" s="125">
        <f t="shared" si="12"/>
        <v>1.0007699999999999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1.577</v>
      </c>
      <c r="R35" s="12">
        <f t="shared" si="10"/>
        <v>1.0007699999999999</v>
      </c>
    </row>
    <row r="36" spans="1:21" s="10" customFormat="1" ht="13.9" customHeight="1" x14ac:dyDescent="0.25">
      <c r="A36" s="163">
        <v>45964</v>
      </c>
      <c r="B36" s="151" t="s">
        <v>170</v>
      </c>
      <c r="C36" s="135" t="str">
        <f>A12</f>
        <v>4:1/100%</v>
      </c>
      <c r="D36" s="135">
        <v>5</v>
      </c>
      <c r="E36" s="79">
        <v>-2.5000000000000001E-2</v>
      </c>
      <c r="F36" s="57">
        <v>0.27</v>
      </c>
      <c r="G36" s="124">
        <f>E36-((B12-1)*100)</f>
        <v>-6.600000000000214E-2</v>
      </c>
      <c r="H36" s="124">
        <f>F36+C12</f>
        <v>0.97</v>
      </c>
      <c r="I36" s="125">
        <f>1-(G36/100)</f>
        <v>1.0006600000000001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0.97</v>
      </c>
      <c r="R36" s="12">
        <f t="shared" si="10"/>
        <v>1.0006600000000001</v>
      </c>
    </row>
    <row r="37" spans="1:21" s="10" customFormat="1" ht="13.9" customHeight="1" thickBot="1" x14ac:dyDescent="0.3">
      <c r="A37" s="165">
        <v>45964</v>
      </c>
      <c r="B37" s="166" t="s">
        <v>170</v>
      </c>
      <c r="C37" s="137" t="str">
        <f>A13</f>
        <v>4:1/120%</v>
      </c>
      <c r="D37" s="137">
        <v>5</v>
      </c>
      <c r="E37" s="119">
        <v>-2.4E-2</v>
      </c>
      <c r="F37" s="120">
        <v>0.22</v>
      </c>
      <c r="G37" s="126">
        <f>E37-((B13-1)*100)</f>
        <v>-6.4330000000010629E-2</v>
      </c>
      <c r="H37" s="126">
        <f>F37+C13</f>
        <v>0.91299999999999992</v>
      </c>
      <c r="I37" s="127">
        <f t="shared" ref="I37" si="13">1-(G37/100)</f>
        <v>1.0006433000000001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0.91299999999999992</v>
      </c>
      <c r="R37" s="141">
        <f>I37</f>
        <v>1.0006433000000001</v>
      </c>
    </row>
    <row r="38" spans="1:21" s="10" customFormat="1" ht="13.9" customHeight="1" thickTop="1" x14ac:dyDescent="0.25">
      <c r="A38" s="164">
        <v>45964</v>
      </c>
      <c r="B38" s="116" t="s">
        <v>171</v>
      </c>
      <c r="C38" s="138" t="str">
        <f>A6</f>
        <v>4:1/1%</v>
      </c>
      <c r="D38" s="138">
        <v>5</v>
      </c>
      <c r="E38" s="117">
        <v>-1E-3</v>
      </c>
      <c r="F38" s="118">
        <v>0.05</v>
      </c>
      <c r="G38" s="128">
        <f>E38-((B6-1)*100)</f>
        <v>-8.433000000000368E-2</v>
      </c>
      <c r="H38" s="128">
        <f>F38+C6</f>
        <v>2.8929999999999998</v>
      </c>
      <c r="I38" s="129">
        <f>1-(G38/100)</f>
        <v>1.0008433000000001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2.8929999999999998</v>
      </c>
      <c r="N38" s="12">
        <f t="shared" si="1"/>
        <v>1.0008433000000001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45964</v>
      </c>
      <c r="B39" s="151" t="s">
        <v>171</v>
      </c>
      <c r="C39" s="135" t="str">
        <f>A7</f>
        <v>4:1/5%</v>
      </c>
      <c r="D39" s="135">
        <v>5</v>
      </c>
      <c r="E39" s="79">
        <v>-1.0999999999999999E-2</v>
      </c>
      <c r="F39" s="57">
        <v>1.21</v>
      </c>
      <c r="G39" s="124">
        <f>E39-((B7-1)*100)</f>
        <v>-7.8330000000009878E-2</v>
      </c>
      <c r="H39" s="124">
        <f>F39+C7</f>
        <v>2.867</v>
      </c>
      <c r="I39" s="125">
        <f t="shared" ref="I39:I40" si="14">1-(G39/100)</f>
        <v>1.0007833000000002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2.867</v>
      </c>
      <c r="P39" s="12">
        <f t="shared" si="3"/>
        <v>1.0007833000000002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45964</v>
      </c>
      <c r="B40" s="151" t="s">
        <v>171</v>
      </c>
      <c r="C40" s="135" t="str">
        <f>A9</f>
        <v>4:1/20%</v>
      </c>
      <c r="D40" s="135">
        <v>5</v>
      </c>
      <c r="E40" s="79">
        <v>-2.9000000000000001E-2</v>
      </c>
      <c r="F40" s="57">
        <v>1.05</v>
      </c>
      <c r="G40" s="124">
        <f>E40-((B9-1)*100)</f>
        <v>-7.8999999999994491E-2</v>
      </c>
      <c r="H40" s="124">
        <f>F40+C9</f>
        <v>1.867</v>
      </c>
      <c r="I40" s="125">
        <f t="shared" si="14"/>
        <v>1.0007899999999998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1.867</v>
      </c>
      <c r="R40" s="12">
        <f t="shared" si="10"/>
        <v>1.0007899999999998</v>
      </c>
    </row>
    <row r="41" spans="1:21" s="10" customFormat="1" ht="13.9" customHeight="1" x14ac:dyDescent="0.25">
      <c r="A41" s="163">
        <v>45964</v>
      </c>
      <c r="B41" s="151" t="s">
        <v>171</v>
      </c>
      <c r="C41" s="135" t="str">
        <f>A12</f>
        <v>4:1/100%</v>
      </c>
      <c r="D41" s="135">
        <v>5</v>
      </c>
      <c r="E41" s="79">
        <v>-2.8000000000000001E-2</v>
      </c>
      <c r="F41" s="57">
        <v>0.61</v>
      </c>
      <c r="G41" s="124">
        <f>E41-((B12-1)*100)</f>
        <v>-6.9000000000002143E-2</v>
      </c>
      <c r="H41" s="124">
        <f>F41+C12</f>
        <v>1.31</v>
      </c>
      <c r="I41" s="125">
        <f>1-(G41/100)</f>
        <v>1.0006900000000001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1.31</v>
      </c>
      <c r="R41" s="12">
        <f t="shared" si="10"/>
        <v>1.0006900000000001</v>
      </c>
    </row>
    <row r="42" spans="1:21" s="10" customFormat="1" ht="13.9" customHeight="1" thickBot="1" x14ac:dyDescent="0.3">
      <c r="A42" s="167">
        <v>45964</v>
      </c>
      <c r="B42" s="168" t="s">
        <v>171</v>
      </c>
      <c r="C42" s="139" t="str">
        <f>A13</f>
        <v>4:1/120%</v>
      </c>
      <c r="D42" s="139">
        <v>5</v>
      </c>
      <c r="E42" s="80">
        <v>-3.5000000000000003E-2</v>
      </c>
      <c r="F42" s="78">
        <v>1.54</v>
      </c>
      <c r="G42" s="130">
        <f>E42-((B13-1)*100)</f>
        <v>-7.5330000000010638E-2</v>
      </c>
      <c r="H42" s="130">
        <f>F42+C13</f>
        <v>2.2330000000000001</v>
      </c>
      <c r="I42" s="131">
        <f t="shared" ref="I42" si="16">1-(G42/100)</f>
        <v>1.0007533000000002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2.2330000000000001</v>
      </c>
      <c r="R42" s="141">
        <f>I42</f>
        <v>1.0007533000000002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5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79F8-69FD-455A-B516-355F09C114CF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25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42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45964</v>
      </c>
      <c r="B28" s="150" t="s">
        <v>172</v>
      </c>
      <c r="C28" s="132" t="str">
        <f>A6</f>
        <v>4:1/1%</v>
      </c>
      <c r="D28" s="133">
        <v>5</v>
      </c>
      <c r="E28" s="89">
        <v>3.5000000000000003E-2</v>
      </c>
      <c r="F28" s="90">
        <v>-4.3499999999999996</v>
      </c>
      <c r="G28" s="122">
        <f>E28-((B6-1)*100)</f>
        <v>-4.8330000000003676E-2</v>
      </c>
      <c r="H28" s="122">
        <f>F28+C6</f>
        <v>-1.5069999999999997</v>
      </c>
      <c r="I28" s="123">
        <f>1-(G28/100)</f>
        <v>1.0004833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-1.5069999999999997</v>
      </c>
      <c r="N28" s="12">
        <f t="shared" ref="N28:N42" si="1">IFERROR(VLOOKUP($A$6,C28:I28,7,0),0)</f>
        <v>1.0004833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45964</v>
      </c>
      <c r="B29" s="151" t="s">
        <v>172</v>
      </c>
      <c r="C29" s="134" t="str">
        <f t="shared" ref="C29" si="4">A7</f>
        <v>4:1/5%</v>
      </c>
      <c r="D29" s="135">
        <v>5</v>
      </c>
      <c r="E29" s="79">
        <v>-2E-3</v>
      </c>
      <c r="F29" s="57">
        <v>-0.05</v>
      </c>
      <c r="G29" s="124">
        <f t="shared" ref="G29" si="5">E29-((B7-1)*100)</f>
        <v>-6.9330000000009884E-2</v>
      </c>
      <c r="H29" s="124">
        <f t="shared" ref="H29" si="6">F29+C7</f>
        <v>1.607</v>
      </c>
      <c r="I29" s="125">
        <f t="shared" ref="I29:I30" si="7">1-(G29/100)</f>
        <v>1.0006933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1.607</v>
      </c>
      <c r="P29" s="12">
        <f t="shared" si="3"/>
        <v>1.0006933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45964</v>
      </c>
      <c r="B30" s="151" t="s">
        <v>172</v>
      </c>
      <c r="C30" s="134" t="str">
        <f>A9</f>
        <v>4:1/20%</v>
      </c>
      <c r="D30" s="135">
        <v>5</v>
      </c>
      <c r="E30" s="79">
        <v>-0.02</v>
      </c>
      <c r="F30" s="57">
        <v>0.37</v>
      </c>
      <c r="G30" s="124">
        <f>E30-((B9-1)*100)</f>
        <v>-6.9999999999994497E-2</v>
      </c>
      <c r="H30" s="124">
        <f>F30+C9</f>
        <v>1.1869999999999998</v>
      </c>
      <c r="I30" s="125">
        <f t="shared" si="7"/>
        <v>1.0006999999999999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1.1869999999999998</v>
      </c>
      <c r="R30" s="12">
        <f>IFERROR(VLOOKUP($A$9,C30:I30,7,0),IFERROR(VLOOKUP($A$12,C30:I30,7,0),IFERROR(VLOOKUP($A$14,C30:I30,7,0),0)))</f>
        <v>1.0006999999999999</v>
      </c>
    </row>
    <row r="31" spans="1:21" s="10" customFormat="1" ht="13.9" customHeight="1" x14ac:dyDescent="0.25">
      <c r="A31" s="163">
        <v>45964</v>
      </c>
      <c r="B31" s="151" t="s">
        <v>172</v>
      </c>
      <c r="C31" s="134" t="str">
        <f>A12</f>
        <v>4:1/100%</v>
      </c>
      <c r="D31" s="135">
        <v>5</v>
      </c>
      <c r="E31" s="79">
        <v>-1.0999999999999999E-2</v>
      </c>
      <c r="F31" s="57">
        <v>0.04</v>
      </c>
      <c r="G31" s="124">
        <f>E31-((B12-1)*100)</f>
        <v>-5.2000000000002142E-2</v>
      </c>
      <c r="H31" s="124">
        <f>F31+C12</f>
        <v>0.74</v>
      </c>
      <c r="I31" s="125">
        <f>1-(G31/100)</f>
        <v>1.0005200000000001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0.74</v>
      </c>
      <c r="R31" s="12">
        <f t="shared" ref="R31:R41" si="10">IFERROR(VLOOKUP($A$9,C31:I31,7,0),IFERROR(VLOOKUP($A$12,C31:I31,7,0),IFERROR(VLOOKUP($A$14,C31:I31,7,0),0)))</f>
        <v>1.0005200000000001</v>
      </c>
    </row>
    <row r="32" spans="1:21" s="10" customFormat="1" ht="13.9" customHeight="1" thickBot="1" x14ac:dyDescent="0.3">
      <c r="A32" s="165">
        <v>45964</v>
      </c>
      <c r="B32" s="166" t="s">
        <v>172</v>
      </c>
      <c r="C32" s="136" t="str">
        <f>A13</f>
        <v>4:1/120%</v>
      </c>
      <c r="D32" s="137">
        <v>5</v>
      </c>
      <c r="E32" s="119">
        <v>-1.0999999999999999E-2</v>
      </c>
      <c r="F32" s="120">
        <v>0.06</v>
      </c>
      <c r="G32" s="126">
        <f>E32-((B13-1)*100)</f>
        <v>-5.1330000000010631E-2</v>
      </c>
      <c r="H32" s="126">
        <f>F32+C13</f>
        <v>0.75299999999999989</v>
      </c>
      <c r="I32" s="127">
        <f t="shared" ref="I32" si="11">1-(G32/100)</f>
        <v>1.0005133000000002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0.75299999999999989</v>
      </c>
      <c r="R32" s="141">
        <f>I32</f>
        <v>1.0005133000000002</v>
      </c>
    </row>
    <row r="33" spans="1:21" s="10" customFormat="1" ht="13.9" customHeight="1" thickTop="1" x14ac:dyDescent="0.25">
      <c r="A33" s="164">
        <v>45964</v>
      </c>
      <c r="B33" s="116" t="s">
        <v>173</v>
      </c>
      <c r="C33" s="138" t="str">
        <f>A6</f>
        <v>4:1/1%</v>
      </c>
      <c r="D33" s="138">
        <v>5</v>
      </c>
      <c r="E33" s="117">
        <v>1.9E-2</v>
      </c>
      <c r="F33" s="118">
        <v>-4.3899999999999997</v>
      </c>
      <c r="G33" s="128">
        <f>E33-((B6-1)*100)</f>
        <v>-6.4330000000003676E-2</v>
      </c>
      <c r="H33" s="128">
        <f>F33+C6</f>
        <v>-1.5469999999999997</v>
      </c>
      <c r="I33" s="129">
        <f>1-(G33/100)</f>
        <v>1.0006433000000001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-1.5469999999999997</v>
      </c>
      <c r="N33" s="12">
        <f t="shared" si="1"/>
        <v>1.0006433000000001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45964</v>
      </c>
      <c r="B34" s="151" t="s">
        <v>173</v>
      </c>
      <c r="C34" s="135" t="str">
        <f>A7</f>
        <v>4:1/5%</v>
      </c>
      <c r="D34" s="135">
        <v>5</v>
      </c>
      <c r="E34" s="79">
        <v>-6.0000000000000001E-3</v>
      </c>
      <c r="F34" s="57">
        <v>-0.88</v>
      </c>
      <c r="G34" s="124">
        <f>E34-((B7-1)*100)</f>
        <v>-7.3330000000009887E-2</v>
      </c>
      <c r="H34" s="124">
        <f>F34+C7</f>
        <v>0.77700000000000002</v>
      </c>
      <c r="I34" s="125">
        <f t="shared" ref="I34:I35" si="12">1-(G34/100)</f>
        <v>1.0007333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0.77700000000000002</v>
      </c>
      <c r="P34" s="12">
        <f t="shared" si="3"/>
        <v>1.0007333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45964</v>
      </c>
      <c r="B35" s="151" t="s">
        <v>173</v>
      </c>
      <c r="C35" s="135" t="str">
        <f>A9</f>
        <v>4:1/20%</v>
      </c>
      <c r="D35" s="135">
        <v>5</v>
      </c>
      <c r="E35" s="79">
        <v>-2.1999999999999999E-2</v>
      </c>
      <c r="F35" s="57">
        <v>0.1</v>
      </c>
      <c r="G35" s="124">
        <f>E35-((B9-1)*100)</f>
        <v>-7.1999999999994485E-2</v>
      </c>
      <c r="H35" s="124">
        <f>F35+C9</f>
        <v>0.91699999999999993</v>
      </c>
      <c r="I35" s="125">
        <f t="shared" si="12"/>
        <v>1.0007200000000001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0.91699999999999993</v>
      </c>
      <c r="R35" s="12">
        <f t="shared" si="10"/>
        <v>1.0007200000000001</v>
      </c>
    </row>
    <row r="36" spans="1:21" s="10" customFormat="1" ht="13.9" customHeight="1" x14ac:dyDescent="0.25">
      <c r="A36" s="163">
        <v>45964</v>
      </c>
      <c r="B36" s="151" t="s">
        <v>173</v>
      </c>
      <c r="C36" s="135" t="str">
        <f>A12</f>
        <v>4:1/100%</v>
      </c>
      <c r="D36" s="135">
        <v>5</v>
      </c>
      <c r="E36" s="79">
        <v>-2.1000000000000001E-2</v>
      </c>
      <c r="F36" s="57">
        <v>0.05</v>
      </c>
      <c r="G36" s="124">
        <f>E36-((B12-1)*100)</f>
        <v>-6.2000000000002151E-2</v>
      </c>
      <c r="H36" s="124">
        <f>F36+C12</f>
        <v>0.75</v>
      </c>
      <c r="I36" s="125">
        <f>1-(G36/100)</f>
        <v>1.0006200000000001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0.75</v>
      </c>
      <c r="R36" s="12">
        <f t="shared" si="10"/>
        <v>1.0006200000000001</v>
      </c>
    </row>
    <row r="37" spans="1:21" s="10" customFormat="1" ht="13.9" customHeight="1" thickBot="1" x14ac:dyDescent="0.3">
      <c r="A37" s="165">
        <v>45964</v>
      </c>
      <c r="B37" s="166" t="s">
        <v>173</v>
      </c>
      <c r="C37" s="137" t="str">
        <f>A13</f>
        <v>4:1/120%</v>
      </c>
      <c r="D37" s="137">
        <v>5</v>
      </c>
      <c r="E37" s="119">
        <v>-2.1000000000000001E-2</v>
      </c>
      <c r="F37" s="120">
        <v>0.01</v>
      </c>
      <c r="G37" s="126">
        <f>E37-((B13-1)*100)</f>
        <v>-6.133000000001064E-2</v>
      </c>
      <c r="H37" s="126">
        <f>F37+C13</f>
        <v>0.70299999999999996</v>
      </c>
      <c r="I37" s="127">
        <f t="shared" ref="I37" si="13">1-(G37/100)</f>
        <v>1.0006133000000001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0.70299999999999996</v>
      </c>
      <c r="R37" s="141">
        <f>I37</f>
        <v>1.0006133000000001</v>
      </c>
    </row>
    <row r="38" spans="1:21" s="10" customFormat="1" ht="13.9" customHeight="1" thickTop="1" x14ac:dyDescent="0.25">
      <c r="A38" s="164">
        <v>45964</v>
      </c>
      <c r="B38" s="116" t="s">
        <v>174</v>
      </c>
      <c r="C38" s="138" t="str">
        <f>A6</f>
        <v>4:1/1%</v>
      </c>
      <c r="D38" s="138">
        <v>5</v>
      </c>
      <c r="E38" s="117">
        <v>-1E-3</v>
      </c>
      <c r="F38" s="118">
        <v>-1.02</v>
      </c>
      <c r="G38" s="128">
        <f>E38-((B6-1)*100)</f>
        <v>-8.433000000000368E-2</v>
      </c>
      <c r="H38" s="128">
        <f>F38+C6</f>
        <v>1.823</v>
      </c>
      <c r="I38" s="129">
        <f>1-(G38/100)</f>
        <v>1.0008433000000001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1.823</v>
      </c>
      <c r="N38" s="12">
        <f t="shared" si="1"/>
        <v>1.0008433000000001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45964</v>
      </c>
      <c r="B39" s="151" t="s">
        <v>174</v>
      </c>
      <c r="C39" s="135" t="str">
        <f>A7</f>
        <v>4:1/5%</v>
      </c>
      <c r="D39" s="135">
        <v>5</v>
      </c>
      <c r="E39" s="79">
        <v>-1.4E-2</v>
      </c>
      <c r="F39" s="57">
        <v>0.48</v>
      </c>
      <c r="G39" s="124">
        <f>E39-((B7-1)*100)</f>
        <v>-8.1330000000009881E-2</v>
      </c>
      <c r="H39" s="124">
        <f>F39+C7</f>
        <v>2.137</v>
      </c>
      <c r="I39" s="125">
        <f t="shared" ref="I39:I40" si="14">1-(G39/100)</f>
        <v>1.0008133000000001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2.137</v>
      </c>
      <c r="P39" s="12">
        <f t="shared" si="3"/>
        <v>1.0008133000000001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45964</v>
      </c>
      <c r="B40" s="151" t="s">
        <v>174</v>
      </c>
      <c r="C40" s="135" t="str">
        <f>A9</f>
        <v>4:1/20%</v>
      </c>
      <c r="D40" s="135">
        <v>5</v>
      </c>
      <c r="E40" s="79">
        <v>-3.1E-2</v>
      </c>
      <c r="F40" s="57">
        <v>1.01</v>
      </c>
      <c r="G40" s="124">
        <f>E40-((B9-1)*100)</f>
        <v>-8.0999999999994493E-2</v>
      </c>
      <c r="H40" s="124">
        <f>F40+C9</f>
        <v>1.827</v>
      </c>
      <c r="I40" s="125">
        <f t="shared" si="14"/>
        <v>1.00081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1.827</v>
      </c>
      <c r="R40" s="12">
        <f t="shared" si="10"/>
        <v>1.00081</v>
      </c>
    </row>
    <row r="41" spans="1:21" s="10" customFormat="1" ht="13.9" customHeight="1" x14ac:dyDescent="0.25">
      <c r="A41" s="163">
        <v>45964</v>
      </c>
      <c r="B41" s="151" t="s">
        <v>174</v>
      </c>
      <c r="C41" s="135" t="str">
        <f>A12</f>
        <v>4:1/100%</v>
      </c>
      <c r="D41" s="135">
        <v>5</v>
      </c>
      <c r="E41" s="79">
        <v>-2.7E-2</v>
      </c>
      <c r="F41" s="57">
        <v>0.93</v>
      </c>
      <c r="G41" s="124">
        <f>E41-((B12-1)*100)</f>
        <v>-6.8000000000002142E-2</v>
      </c>
      <c r="H41" s="124">
        <f>F41+C12</f>
        <v>1.63</v>
      </c>
      <c r="I41" s="125">
        <f>1-(G41/100)</f>
        <v>1.00068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1.63</v>
      </c>
      <c r="R41" s="12">
        <f t="shared" si="10"/>
        <v>1.00068</v>
      </c>
    </row>
    <row r="42" spans="1:21" s="10" customFormat="1" ht="13.9" customHeight="1" thickBot="1" x14ac:dyDescent="0.3">
      <c r="A42" s="167">
        <v>45964</v>
      </c>
      <c r="B42" s="168" t="s">
        <v>174</v>
      </c>
      <c r="C42" s="139" t="str">
        <f>A13</f>
        <v>4:1/120%</v>
      </c>
      <c r="D42" s="139">
        <v>5</v>
      </c>
      <c r="E42" s="80">
        <v>-3.3000000000000002E-2</v>
      </c>
      <c r="F42" s="78">
        <v>1.31</v>
      </c>
      <c r="G42" s="130">
        <f>E42-((B13-1)*100)</f>
        <v>-7.3330000000010637E-2</v>
      </c>
      <c r="H42" s="130">
        <f>F42+C13</f>
        <v>2.0030000000000001</v>
      </c>
      <c r="I42" s="131">
        <f t="shared" ref="I42" si="16">1-(G42/100)</f>
        <v>1.0007333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2.0030000000000001</v>
      </c>
      <c r="R42" s="141">
        <f>I42</f>
        <v>1.0007333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4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78DC-E790-4AF6-8DC7-4F2765B983D3}">
  <dimension ref="A1:U43"/>
  <sheetViews>
    <sheetView showGridLines="0" view="pageBreakPreview" topLeftCell="A14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25.1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42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45965</v>
      </c>
      <c r="B28" s="150" t="s">
        <v>175</v>
      </c>
      <c r="C28" s="132" t="str">
        <f>A6</f>
        <v>4:1/1%</v>
      </c>
      <c r="D28" s="133">
        <v>5</v>
      </c>
      <c r="E28" s="89">
        <v>1.9E-2</v>
      </c>
      <c r="F28" s="90">
        <v>-3.28</v>
      </c>
      <c r="G28" s="122">
        <f>E28-((B6-1)*100)</f>
        <v>-6.4330000000003676E-2</v>
      </c>
      <c r="H28" s="122">
        <f>F28+C6</f>
        <v>-0.43699999999999983</v>
      </c>
      <c r="I28" s="123">
        <f>1-(G28/100)</f>
        <v>1.0006433000000001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-0.43699999999999983</v>
      </c>
      <c r="N28" s="12">
        <f t="shared" ref="N28:N42" si="1">IFERROR(VLOOKUP($A$6,C28:I28,7,0),0)</f>
        <v>1.0006433000000001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45965</v>
      </c>
      <c r="B29" s="151" t="s">
        <v>175</v>
      </c>
      <c r="C29" s="134" t="str">
        <f t="shared" ref="C29" si="4">A7</f>
        <v>4:1/5%</v>
      </c>
      <c r="D29" s="135">
        <v>5</v>
      </c>
      <c r="E29" s="79">
        <v>-6.0000000000000001E-3</v>
      </c>
      <c r="F29" s="57">
        <v>-0.27</v>
      </c>
      <c r="G29" s="124">
        <f t="shared" ref="G29" si="5">E29-((B7-1)*100)</f>
        <v>-7.3330000000009887E-2</v>
      </c>
      <c r="H29" s="124">
        <f t="shared" ref="H29" si="6">F29+C7</f>
        <v>1.387</v>
      </c>
      <c r="I29" s="125">
        <f t="shared" ref="I29:I30" si="7">1-(G29/100)</f>
        <v>1.0007333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1.387</v>
      </c>
      <c r="P29" s="12">
        <f t="shared" si="3"/>
        <v>1.0007333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45965</v>
      </c>
      <c r="B30" s="151" t="s">
        <v>175</v>
      </c>
      <c r="C30" s="134" t="str">
        <f>A9</f>
        <v>4:1/20%</v>
      </c>
      <c r="D30" s="135">
        <v>5</v>
      </c>
      <c r="E30" s="79">
        <v>2.5000000000000001E-2</v>
      </c>
      <c r="F30" s="57">
        <v>0.3</v>
      </c>
      <c r="G30" s="124">
        <f>E30-((B9-1)*100)</f>
        <v>-2.4999999999994492E-2</v>
      </c>
      <c r="H30" s="124">
        <f>F30+C9</f>
        <v>1.117</v>
      </c>
      <c r="I30" s="125">
        <f t="shared" si="7"/>
        <v>1.0002499999999999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1.117</v>
      </c>
      <c r="R30" s="12">
        <f>IFERROR(VLOOKUP($A$9,C30:I30,7,0),IFERROR(VLOOKUP($A$12,C30:I30,7,0),IFERROR(VLOOKUP($A$14,C30:I30,7,0),0)))</f>
        <v>1.0002499999999999</v>
      </c>
    </row>
    <row r="31" spans="1:21" s="10" customFormat="1" ht="13.9" customHeight="1" x14ac:dyDescent="0.25">
      <c r="A31" s="163">
        <v>45965</v>
      </c>
      <c r="B31" s="151" t="s">
        <v>175</v>
      </c>
      <c r="C31" s="134" t="str">
        <f>A12</f>
        <v>4:1/100%</v>
      </c>
      <c r="D31" s="135">
        <v>5</v>
      </c>
      <c r="E31" s="79">
        <v>-4.0000000000000001E-3</v>
      </c>
      <c r="F31" s="57">
        <v>-0.04</v>
      </c>
      <c r="G31" s="124">
        <f>E31-((B12-1)*100)</f>
        <v>-4.5000000000002149E-2</v>
      </c>
      <c r="H31" s="124">
        <f>F31+C12</f>
        <v>0.65999999999999992</v>
      </c>
      <c r="I31" s="125">
        <f>1-(G31/100)</f>
        <v>1.0004500000000001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0.65999999999999992</v>
      </c>
      <c r="R31" s="12">
        <f t="shared" ref="R31:R41" si="10">IFERROR(VLOOKUP($A$9,C31:I31,7,0),IFERROR(VLOOKUP($A$12,C31:I31,7,0),IFERROR(VLOOKUP($A$14,C31:I31,7,0),0)))</f>
        <v>1.0004500000000001</v>
      </c>
    </row>
    <row r="32" spans="1:21" s="10" customFormat="1" ht="13.9" customHeight="1" thickBot="1" x14ac:dyDescent="0.3">
      <c r="A32" s="165">
        <v>45965</v>
      </c>
      <c r="B32" s="166" t="s">
        <v>175</v>
      </c>
      <c r="C32" s="136" t="str">
        <f>A13</f>
        <v>4:1/120%</v>
      </c>
      <c r="D32" s="137">
        <v>5</v>
      </c>
      <c r="E32" s="119">
        <v>-4.0000000000000001E-3</v>
      </c>
      <c r="F32" s="120">
        <v>-0.09</v>
      </c>
      <c r="G32" s="126">
        <f>E32-((B13-1)*100)</f>
        <v>-4.4330000000010639E-2</v>
      </c>
      <c r="H32" s="126">
        <f>F32+C13</f>
        <v>0.60299999999999998</v>
      </c>
      <c r="I32" s="127">
        <f t="shared" ref="I32" si="11">1-(G32/100)</f>
        <v>1.0004433000000001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0.60299999999999998</v>
      </c>
      <c r="R32" s="141">
        <f>I32</f>
        <v>1.0004433000000001</v>
      </c>
    </row>
    <row r="33" spans="1:21" s="10" customFormat="1" ht="13.9" customHeight="1" thickTop="1" x14ac:dyDescent="0.25">
      <c r="A33" s="164">
        <v>45965</v>
      </c>
      <c r="B33" s="116" t="s">
        <v>176</v>
      </c>
      <c r="C33" s="138" t="str">
        <f>A6</f>
        <v>4:1/1%</v>
      </c>
      <c r="D33" s="138">
        <v>5</v>
      </c>
      <c r="E33" s="117">
        <v>1.9E-2</v>
      </c>
      <c r="F33" s="118">
        <v>-3.59</v>
      </c>
      <c r="G33" s="128">
        <f>E33-((B6-1)*100)</f>
        <v>-6.4330000000003676E-2</v>
      </c>
      <c r="H33" s="128">
        <f>F33+C6</f>
        <v>-0.74699999999999989</v>
      </c>
      <c r="I33" s="129">
        <f>1-(G33/100)</f>
        <v>1.0006433000000001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-0.74699999999999989</v>
      </c>
      <c r="N33" s="12">
        <f t="shared" si="1"/>
        <v>1.0006433000000001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45965</v>
      </c>
      <c r="B34" s="151" t="s">
        <v>176</v>
      </c>
      <c r="C34" s="135" t="str">
        <f>A7</f>
        <v>4:1/5%</v>
      </c>
      <c r="D34" s="135">
        <v>5</v>
      </c>
      <c r="E34" s="79">
        <v>-6.0000000000000001E-3</v>
      </c>
      <c r="F34" s="57">
        <v>-0.05</v>
      </c>
      <c r="G34" s="124">
        <f>E34-((B7-1)*100)</f>
        <v>-7.3330000000009887E-2</v>
      </c>
      <c r="H34" s="124">
        <f>F34+C7</f>
        <v>1.607</v>
      </c>
      <c r="I34" s="125">
        <f t="shared" ref="I34:I35" si="12">1-(G34/100)</f>
        <v>1.0007333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1.607</v>
      </c>
      <c r="P34" s="12">
        <f t="shared" si="3"/>
        <v>1.0007333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45965</v>
      </c>
      <c r="B35" s="151" t="s">
        <v>176</v>
      </c>
      <c r="C35" s="135" t="str">
        <f>A9</f>
        <v>4:1/20%</v>
      </c>
      <c r="D35" s="135">
        <v>5</v>
      </c>
      <c r="E35" s="79">
        <v>2.1999999999999999E-2</v>
      </c>
      <c r="F35" s="57">
        <v>0.36</v>
      </c>
      <c r="G35" s="124">
        <f>E35-((B9-1)*100)</f>
        <v>-2.7999999999994495E-2</v>
      </c>
      <c r="H35" s="124">
        <f>F35+C9</f>
        <v>1.177</v>
      </c>
      <c r="I35" s="125">
        <f t="shared" si="12"/>
        <v>1.0002799999999998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1.177</v>
      </c>
      <c r="R35" s="12">
        <f t="shared" si="10"/>
        <v>1.0002799999999998</v>
      </c>
    </row>
    <row r="36" spans="1:21" s="10" customFormat="1" ht="13.9" customHeight="1" x14ac:dyDescent="0.25">
      <c r="A36" s="163">
        <v>45965</v>
      </c>
      <c r="B36" s="151" t="s">
        <v>176</v>
      </c>
      <c r="C36" s="135" t="str">
        <f>A12</f>
        <v>4:1/100%</v>
      </c>
      <c r="D36" s="135">
        <v>5</v>
      </c>
      <c r="E36" s="79">
        <v>-5.0000000000000001E-3</v>
      </c>
      <c r="F36" s="57">
        <v>-0.09</v>
      </c>
      <c r="G36" s="124">
        <f>E36-((B12-1)*100)</f>
        <v>-4.6000000000002143E-2</v>
      </c>
      <c r="H36" s="124">
        <f>F36+C12</f>
        <v>0.61</v>
      </c>
      <c r="I36" s="125">
        <f>1-(G36/100)</f>
        <v>1.0004600000000001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0.61</v>
      </c>
      <c r="R36" s="12">
        <f t="shared" si="10"/>
        <v>1.0004600000000001</v>
      </c>
    </row>
    <row r="37" spans="1:21" s="10" customFormat="1" ht="13.9" customHeight="1" thickBot="1" x14ac:dyDescent="0.3">
      <c r="A37" s="165">
        <v>45965</v>
      </c>
      <c r="B37" s="166" t="s">
        <v>176</v>
      </c>
      <c r="C37" s="137" t="str">
        <f>A13</f>
        <v>4:1/120%</v>
      </c>
      <c r="D37" s="137">
        <v>5</v>
      </c>
      <c r="E37" s="119">
        <v>-7.0000000000000001E-3</v>
      </c>
      <c r="F37" s="120">
        <v>-0.12</v>
      </c>
      <c r="G37" s="126">
        <f>E37-((B13-1)*100)</f>
        <v>-4.7330000000010634E-2</v>
      </c>
      <c r="H37" s="126">
        <f>F37+C13</f>
        <v>0.57299999999999995</v>
      </c>
      <c r="I37" s="127">
        <f t="shared" ref="I37" si="13">1-(G37/100)</f>
        <v>1.0004733000000001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0.57299999999999995</v>
      </c>
      <c r="R37" s="141">
        <f>I37</f>
        <v>1.0004733000000001</v>
      </c>
    </row>
    <row r="38" spans="1:21" s="10" customFormat="1" ht="13.9" customHeight="1" thickTop="1" x14ac:dyDescent="0.25">
      <c r="A38" s="164">
        <v>45965</v>
      </c>
      <c r="B38" s="116" t="s">
        <v>177</v>
      </c>
      <c r="C38" s="138" t="str">
        <f>A6</f>
        <v>4:1/1%</v>
      </c>
      <c r="D38" s="138">
        <v>5</v>
      </c>
      <c r="E38" s="117">
        <v>-6.0000000000000001E-3</v>
      </c>
      <c r="F38" s="118">
        <v>-1.08</v>
      </c>
      <c r="G38" s="128">
        <f>E38-((B6-1)*100)</f>
        <v>-8.9330000000003684E-2</v>
      </c>
      <c r="H38" s="128">
        <f>F38+C6</f>
        <v>1.7629999999999999</v>
      </c>
      <c r="I38" s="129">
        <f>1-(G38/100)</f>
        <v>1.0008933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1.7629999999999999</v>
      </c>
      <c r="N38" s="12">
        <f t="shared" si="1"/>
        <v>1.0008933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45965</v>
      </c>
      <c r="B39" s="151" t="s">
        <v>177</v>
      </c>
      <c r="C39" s="135" t="str">
        <f>A7</f>
        <v>4:1/5%</v>
      </c>
      <c r="D39" s="135">
        <v>5</v>
      </c>
      <c r="E39" s="79">
        <v>-1.4E-2</v>
      </c>
      <c r="F39" s="57">
        <v>0.6</v>
      </c>
      <c r="G39" s="124">
        <f>E39-((B7-1)*100)</f>
        <v>-8.1330000000009881E-2</v>
      </c>
      <c r="H39" s="124">
        <f>F39+C7</f>
        <v>2.2570000000000001</v>
      </c>
      <c r="I39" s="125">
        <f t="shared" ref="I39:I40" si="14">1-(G39/100)</f>
        <v>1.0008133000000001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2.2570000000000001</v>
      </c>
      <c r="P39" s="12">
        <f t="shared" si="3"/>
        <v>1.0008133000000001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45965</v>
      </c>
      <c r="B40" s="151" t="s">
        <v>177</v>
      </c>
      <c r="C40" s="135" t="str">
        <f>A9</f>
        <v>4:1/20%</v>
      </c>
      <c r="D40" s="135">
        <v>5</v>
      </c>
      <c r="E40" s="79">
        <v>-3.1E-2</v>
      </c>
      <c r="F40" s="57">
        <v>1.05</v>
      </c>
      <c r="G40" s="124">
        <f>E40-((B9-1)*100)</f>
        <v>-8.0999999999994493E-2</v>
      </c>
      <c r="H40" s="124">
        <f>F40+C9</f>
        <v>1.867</v>
      </c>
      <c r="I40" s="125">
        <f t="shared" si="14"/>
        <v>1.00081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1.867</v>
      </c>
      <c r="R40" s="12">
        <f t="shared" si="10"/>
        <v>1.00081</v>
      </c>
    </row>
    <row r="41" spans="1:21" s="10" customFormat="1" ht="13.9" customHeight="1" x14ac:dyDescent="0.25">
      <c r="A41" s="163">
        <v>45965</v>
      </c>
      <c r="B41" s="151" t="s">
        <v>177</v>
      </c>
      <c r="C41" s="135" t="str">
        <f>A12</f>
        <v>4:1/100%</v>
      </c>
      <c r="D41" s="135">
        <v>5</v>
      </c>
      <c r="E41" s="79">
        <v>-2.1999999999999999E-2</v>
      </c>
      <c r="F41" s="57">
        <v>0.86</v>
      </c>
      <c r="G41" s="124">
        <f>E41-((B12-1)*100)</f>
        <v>-6.3000000000002138E-2</v>
      </c>
      <c r="H41" s="124">
        <f>F41+C12</f>
        <v>1.56</v>
      </c>
      <c r="I41" s="125">
        <f>1-(G41/100)</f>
        <v>1.0006300000000001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1.56</v>
      </c>
      <c r="R41" s="12">
        <f t="shared" si="10"/>
        <v>1.0006300000000001</v>
      </c>
    </row>
    <row r="42" spans="1:21" s="10" customFormat="1" ht="13.9" customHeight="1" thickBot="1" x14ac:dyDescent="0.3">
      <c r="A42" s="167">
        <v>45965</v>
      </c>
      <c r="B42" s="168" t="s">
        <v>177</v>
      </c>
      <c r="C42" s="139" t="str">
        <f>A13</f>
        <v>4:1/120%</v>
      </c>
      <c r="D42" s="139">
        <v>5</v>
      </c>
      <c r="E42" s="80">
        <v>-2.1999999999999999E-2</v>
      </c>
      <c r="F42" s="78">
        <v>0.86</v>
      </c>
      <c r="G42" s="130">
        <f>E42-((B13-1)*100)</f>
        <v>-6.2330000000010634E-2</v>
      </c>
      <c r="H42" s="130">
        <f>F42+C13</f>
        <v>1.5529999999999999</v>
      </c>
      <c r="I42" s="131">
        <f t="shared" ref="I42" si="16">1-(G42/100)</f>
        <v>1.0006233000000002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1.5529999999999999</v>
      </c>
      <c r="R42" s="141">
        <f>I42</f>
        <v>1.0006233000000002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3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3E11-3FC9-4DFA-9E4F-932CA50B26E5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25.3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40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45965</v>
      </c>
      <c r="B28" s="150" t="s">
        <v>178</v>
      </c>
      <c r="C28" s="132" t="str">
        <f>A6</f>
        <v>4:1/1%</v>
      </c>
      <c r="D28" s="133">
        <v>5</v>
      </c>
      <c r="E28" s="89">
        <v>1.4E-2</v>
      </c>
      <c r="F28" s="90">
        <v>-3.09</v>
      </c>
      <c r="G28" s="122">
        <f>E28-((B6-1)*100)</f>
        <v>-6.933000000000368E-2</v>
      </c>
      <c r="H28" s="122">
        <f>F28+C6</f>
        <v>-0.24699999999999989</v>
      </c>
      <c r="I28" s="123">
        <f>1-(G28/100)</f>
        <v>1.0006933</v>
      </c>
      <c r="J28" s="11" t="e">
        <f>IF(K28=1,26*(#REF!+ABS(G28)),26*(#REF!-ABS(G28)))</f>
        <v>#REF!</v>
      </c>
      <c r="K28" s="11">
        <f>IF(G28&gt;0,IF(H28&gt;0,1,0),IF(H28&gt;0,1,0))</f>
        <v>0</v>
      </c>
      <c r="M28" s="69">
        <f t="shared" ref="M28:M42" si="0">IFERROR(VLOOKUP($A$6,C28:I28,6,0),0)</f>
        <v>-0.24699999999999989</v>
      </c>
      <c r="N28" s="12">
        <f t="shared" ref="N28:N42" si="1">IFERROR(VLOOKUP($A$6,C28:I28,7,0),0)</f>
        <v>1.0006933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45965</v>
      </c>
      <c r="B29" s="151" t="s">
        <v>178</v>
      </c>
      <c r="C29" s="134" t="str">
        <f t="shared" ref="C29" si="4">A7</f>
        <v>4:1/5%</v>
      </c>
      <c r="D29" s="135">
        <v>5</v>
      </c>
      <c r="E29" s="79">
        <v>-8.9999999999999993E-3</v>
      </c>
      <c r="F29" s="57">
        <v>0.3</v>
      </c>
      <c r="G29" s="124">
        <f t="shared" ref="G29" si="5">E29-((B7-1)*100)</f>
        <v>-7.6330000000009876E-2</v>
      </c>
      <c r="H29" s="124">
        <f t="shared" ref="H29" si="6">F29+C7</f>
        <v>1.9570000000000001</v>
      </c>
      <c r="I29" s="125">
        <f t="shared" ref="I29:I30" si="7">1-(G29/100)</f>
        <v>1.0007633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1.9570000000000001</v>
      </c>
      <c r="P29" s="12">
        <f t="shared" si="3"/>
        <v>1.0007633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45965</v>
      </c>
      <c r="B30" s="151" t="s">
        <v>178</v>
      </c>
      <c r="C30" s="134" t="str">
        <f>A9</f>
        <v>4:1/20%</v>
      </c>
      <c r="D30" s="135">
        <v>5</v>
      </c>
      <c r="E30" s="79">
        <v>8.9999999999999993E-3</v>
      </c>
      <c r="F30" s="57">
        <v>0.97</v>
      </c>
      <c r="G30" s="124">
        <f>E30-((B9-1)*100)</f>
        <v>-4.0999999999994492E-2</v>
      </c>
      <c r="H30" s="124">
        <f>F30+C9</f>
        <v>1.7869999999999999</v>
      </c>
      <c r="I30" s="125">
        <f t="shared" si="7"/>
        <v>1.00041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1.7869999999999999</v>
      </c>
      <c r="R30" s="12">
        <f>IFERROR(VLOOKUP($A$9,C30:I30,7,0),IFERROR(VLOOKUP($A$12,C30:I30,7,0),IFERROR(VLOOKUP($A$14,C30:I30,7,0),0)))</f>
        <v>1.00041</v>
      </c>
    </row>
    <row r="31" spans="1:21" s="10" customFormat="1" ht="13.9" customHeight="1" x14ac:dyDescent="0.25">
      <c r="A31" s="163">
        <v>45965</v>
      </c>
      <c r="B31" s="151" t="s">
        <v>178</v>
      </c>
      <c r="C31" s="134" t="str">
        <f>A12</f>
        <v>4:1/100%</v>
      </c>
      <c r="D31" s="135">
        <v>5</v>
      </c>
      <c r="E31" s="79">
        <v>-2.1999999999999999E-2</v>
      </c>
      <c r="F31" s="57">
        <v>0.37</v>
      </c>
      <c r="G31" s="124">
        <f>E31-((B12-1)*100)</f>
        <v>-6.3000000000002138E-2</v>
      </c>
      <c r="H31" s="124">
        <f>F31+C12</f>
        <v>1.0699999999999998</v>
      </c>
      <c r="I31" s="125">
        <f>1-(G31/100)</f>
        <v>1.0006300000000001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1.0699999999999998</v>
      </c>
      <c r="R31" s="12">
        <f t="shared" ref="R31:R41" si="10">IFERROR(VLOOKUP($A$9,C31:I31,7,0),IFERROR(VLOOKUP($A$12,C31:I31,7,0),IFERROR(VLOOKUP($A$14,C31:I31,7,0),0)))</f>
        <v>1.0006300000000001</v>
      </c>
    </row>
    <row r="32" spans="1:21" s="10" customFormat="1" ht="13.9" customHeight="1" thickBot="1" x14ac:dyDescent="0.3">
      <c r="A32" s="165">
        <v>45965</v>
      </c>
      <c r="B32" s="166" t="s">
        <v>178</v>
      </c>
      <c r="C32" s="136" t="str">
        <f>A13</f>
        <v>4:1/120%</v>
      </c>
      <c r="D32" s="137">
        <v>5</v>
      </c>
      <c r="E32" s="119">
        <v>-0.02</v>
      </c>
      <c r="F32" s="120">
        <v>0.15</v>
      </c>
      <c r="G32" s="126">
        <f>E32-((B13-1)*100)</f>
        <v>-6.0330000000010639E-2</v>
      </c>
      <c r="H32" s="126">
        <f>F32+C13</f>
        <v>0.84299999999999997</v>
      </c>
      <c r="I32" s="127">
        <f t="shared" ref="I32" si="11">1-(G32/100)</f>
        <v>1.0006033000000001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0.84299999999999997</v>
      </c>
      <c r="R32" s="141">
        <f>I32</f>
        <v>1.0006033000000001</v>
      </c>
    </row>
    <row r="33" spans="1:21" s="10" customFormat="1" ht="13.9" customHeight="1" thickTop="1" x14ac:dyDescent="0.25">
      <c r="A33" s="164">
        <v>45965</v>
      </c>
      <c r="B33" s="116" t="s">
        <v>179</v>
      </c>
      <c r="C33" s="138" t="str">
        <f>A6</f>
        <v>4:1/1%</v>
      </c>
      <c r="D33" s="138">
        <v>5</v>
      </c>
      <c r="E33" s="117">
        <v>1E-3</v>
      </c>
      <c r="F33" s="118">
        <v>-1.64</v>
      </c>
      <c r="G33" s="128">
        <f>E33-((B6-1)*100)</f>
        <v>-8.2330000000003678E-2</v>
      </c>
      <c r="H33" s="128">
        <f>F33+C6</f>
        <v>1.2030000000000001</v>
      </c>
      <c r="I33" s="129">
        <f>1-(G33/100)</f>
        <v>1.0008233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1.2030000000000001</v>
      </c>
      <c r="N33" s="12">
        <f t="shared" si="1"/>
        <v>1.0008233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45965</v>
      </c>
      <c r="B34" s="151" t="s">
        <v>179</v>
      </c>
      <c r="C34" s="135" t="str">
        <f>A7</f>
        <v>4:1/5%</v>
      </c>
      <c r="D34" s="135">
        <v>5</v>
      </c>
      <c r="E34" s="79">
        <v>-2.1000000000000001E-2</v>
      </c>
      <c r="F34" s="57">
        <v>0.88</v>
      </c>
      <c r="G34" s="124">
        <f>E34-((B7-1)*100)</f>
        <v>-8.8330000000009887E-2</v>
      </c>
      <c r="H34" s="124">
        <f>F34+C7</f>
        <v>2.5369999999999999</v>
      </c>
      <c r="I34" s="125">
        <f t="shared" ref="I34:I35" si="12">1-(G34/100)</f>
        <v>1.0008833000000001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2.5369999999999999</v>
      </c>
      <c r="P34" s="12">
        <f t="shared" si="3"/>
        <v>1.0008833000000001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45965</v>
      </c>
      <c r="B35" s="151" t="s">
        <v>179</v>
      </c>
      <c r="C35" s="135" t="str">
        <f>A9</f>
        <v>4:1/20%</v>
      </c>
      <c r="D35" s="135">
        <v>5</v>
      </c>
      <c r="E35" s="79">
        <v>-8.9999999999999993E-3</v>
      </c>
      <c r="F35" s="57">
        <v>0.71</v>
      </c>
      <c r="G35" s="124">
        <f>E35-((B9-1)*100)</f>
        <v>-5.8999999999994494E-2</v>
      </c>
      <c r="H35" s="124">
        <f>F35+C9</f>
        <v>1.5269999999999999</v>
      </c>
      <c r="I35" s="125">
        <f t="shared" si="12"/>
        <v>1.0005899999999999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1.5269999999999999</v>
      </c>
      <c r="R35" s="12">
        <f t="shared" si="10"/>
        <v>1.0005899999999999</v>
      </c>
    </row>
    <row r="36" spans="1:21" s="10" customFormat="1" ht="13.9" customHeight="1" x14ac:dyDescent="0.25">
      <c r="A36" s="163">
        <v>45965</v>
      </c>
      <c r="B36" s="151" t="s">
        <v>179</v>
      </c>
      <c r="C36" s="135" t="str">
        <f>A12</f>
        <v>4:1/100%</v>
      </c>
      <c r="D36" s="135">
        <v>5</v>
      </c>
      <c r="E36" s="79">
        <v>-2.1000000000000001E-2</v>
      </c>
      <c r="F36" s="57">
        <v>0.02</v>
      </c>
      <c r="G36" s="124">
        <f>E36-((B12-1)*100)</f>
        <v>-6.2000000000002151E-2</v>
      </c>
      <c r="H36" s="124">
        <f>F36+C12</f>
        <v>0.72</v>
      </c>
      <c r="I36" s="125">
        <f>1-(G36/100)</f>
        <v>1.0006200000000001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0.72</v>
      </c>
      <c r="R36" s="12">
        <f t="shared" si="10"/>
        <v>1.0006200000000001</v>
      </c>
    </row>
    <row r="37" spans="1:21" s="10" customFormat="1" ht="13.9" customHeight="1" thickBot="1" x14ac:dyDescent="0.3">
      <c r="A37" s="165">
        <v>45965</v>
      </c>
      <c r="B37" s="166" t="s">
        <v>179</v>
      </c>
      <c r="C37" s="137" t="str">
        <f>A13</f>
        <v>4:1/120%</v>
      </c>
      <c r="D37" s="137">
        <v>5</v>
      </c>
      <c r="E37" s="119">
        <v>-2.1000000000000001E-2</v>
      </c>
      <c r="F37" s="120">
        <v>-0.02</v>
      </c>
      <c r="G37" s="126">
        <f>E37-((B13-1)*100)</f>
        <v>-6.133000000001064E-2</v>
      </c>
      <c r="H37" s="126">
        <f>F37+C13</f>
        <v>0.67299999999999993</v>
      </c>
      <c r="I37" s="127">
        <f t="shared" ref="I37" si="13">1-(G37/100)</f>
        <v>1.0006133000000001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0.67299999999999993</v>
      </c>
      <c r="R37" s="141">
        <f>I37</f>
        <v>1.0006133000000001</v>
      </c>
    </row>
    <row r="38" spans="1:21" s="10" customFormat="1" ht="13.9" customHeight="1" thickTop="1" x14ac:dyDescent="0.25">
      <c r="A38" s="164">
        <v>45965</v>
      </c>
      <c r="B38" s="116" t="s">
        <v>180</v>
      </c>
      <c r="C38" s="138" t="str">
        <f>A6</f>
        <v>4:1/1%</v>
      </c>
      <c r="D38" s="138">
        <v>5</v>
      </c>
      <c r="E38" s="117">
        <v>0.01</v>
      </c>
      <c r="F38" s="118">
        <v>-1.08</v>
      </c>
      <c r="G38" s="128">
        <f>E38-((B6-1)*100)</f>
        <v>-7.3330000000003684E-2</v>
      </c>
      <c r="H38" s="128">
        <f>F38+C6</f>
        <v>1.7629999999999999</v>
      </c>
      <c r="I38" s="129">
        <f>1-(G38/100)</f>
        <v>1.0007333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1.7629999999999999</v>
      </c>
      <c r="N38" s="12">
        <f t="shared" si="1"/>
        <v>1.0007333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45965</v>
      </c>
      <c r="B39" s="151" t="s">
        <v>180</v>
      </c>
      <c r="C39" s="135" t="str">
        <f>A7</f>
        <v>4:1/5%</v>
      </c>
      <c r="D39" s="135">
        <v>5</v>
      </c>
      <c r="E39" s="79">
        <v>-0.06</v>
      </c>
      <c r="F39" s="57">
        <v>0.46</v>
      </c>
      <c r="G39" s="124">
        <f>E39-((B7-1)*100)</f>
        <v>-0.12733000000000988</v>
      </c>
      <c r="H39" s="124">
        <f>F39+C7</f>
        <v>2.117</v>
      </c>
      <c r="I39" s="125">
        <f t="shared" ref="I39:I40" si="14">1-(G39/100)</f>
        <v>1.0012733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2.117</v>
      </c>
      <c r="P39" s="12">
        <f t="shared" si="3"/>
        <v>1.0012733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45965</v>
      </c>
      <c r="B40" s="151" t="s">
        <v>180</v>
      </c>
      <c r="C40" s="135" t="str">
        <f>A9</f>
        <v>4:1/20%</v>
      </c>
      <c r="D40" s="135">
        <v>5</v>
      </c>
      <c r="E40" s="79">
        <v>-2.9000000000000001E-2</v>
      </c>
      <c r="F40" s="57">
        <v>0.97</v>
      </c>
      <c r="G40" s="124">
        <f>E40-((B9-1)*100)</f>
        <v>-7.8999999999994491E-2</v>
      </c>
      <c r="H40" s="124">
        <f>F40+C9</f>
        <v>1.7869999999999999</v>
      </c>
      <c r="I40" s="125">
        <f t="shared" si="14"/>
        <v>1.0007899999999998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1.7869999999999999</v>
      </c>
      <c r="R40" s="12">
        <f t="shared" si="10"/>
        <v>1.0007899999999998</v>
      </c>
    </row>
    <row r="41" spans="1:21" s="10" customFormat="1" ht="13.9" customHeight="1" x14ac:dyDescent="0.25">
      <c r="A41" s="163">
        <v>45965</v>
      </c>
      <c r="B41" s="151" t="s">
        <v>180</v>
      </c>
      <c r="C41" s="135" t="str">
        <f>A12</f>
        <v>4:1/100%</v>
      </c>
      <c r="D41" s="135">
        <v>5</v>
      </c>
      <c r="E41" s="79">
        <v>-2.4E-2</v>
      </c>
      <c r="F41" s="57">
        <v>0.84</v>
      </c>
      <c r="G41" s="124">
        <f>E41-((B12-1)*100)</f>
        <v>-6.5000000000002139E-2</v>
      </c>
      <c r="H41" s="124">
        <f>F41+C12</f>
        <v>1.54</v>
      </c>
      <c r="I41" s="125">
        <f>1-(G41/100)</f>
        <v>1.00065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1.54</v>
      </c>
      <c r="R41" s="12">
        <f t="shared" si="10"/>
        <v>1.00065</v>
      </c>
    </row>
    <row r="42" spans="1:21" s="10" customFormat="1" ht="13.9" customHeight="1" thickBot="1" x14ac:dyDescent="0.3">
      <c r="A42" s="167">
        <v>45965</v>
      </c>
      <c r="B42" s="168" t="s">
        <v>180</v>
      </c>
      <c r="C42" s="139" t="str">
        <f>A13</f>
        <v>4:1/120%</v>
      </c>
      <c r="D42" s="139">
        <v>5</v>
      </c>
      <c r="E42" s="80">
        <v>-2.5000000000000001E-2</v>
      </c>
      <c r="F42" s="78">
        <v>0.76</v>
      </c>
      <c r="G42" s="130">
        <f>E42-((B13-1)*100)</f>
        <v>-6.533000000001063E-2</v>
      </c>
      <c r="H42" s="130">
        <f>F42+C13</f>
        <v>1.4529999999999998</v>
      </c>
      <c r="I42" s="131">
        <f t="shared" ref="I42" si="16">1-(G42/100)</f>
        <v>1.0006533000000002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1.4529999999999998</v>
      </c>
      <c r="R42" s="141">
        <f>I42</f>
        <v>1.0006533000000002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2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F1A5-8F24-4A0B-B581-689D94900D0C}">
  <dimension ref="A1:U43"/>
  <sheetViews>
    <sheetView showGridLines="0" view="pageBreakPreview" topLeftCell="A10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29.4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27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45965</v>
      </c>
      <c r="B28" s="150" t="s">
        <v>181</v>
      </c>
      <c r="C28" s="132" t="str">
        <f>A6</f>
        <v>4:1/1%</v>
      </c>
      <c r="D28" s="133">
        <v>5</v>
      </c>
      <c r="E28" s="89">
        <v>-1.2E-2</v>
      </c>
      <c r="F28" s="90">
        <v>-0.65</v>
      </c>
      <c r="G28" s="122">
        <f>E28-((B6-1)*100)</f>
        <v>-9.5330000000003676E-2</v>
      </c>
      <c r="H28" s="122">
        <f>F28+C6</f>
        <v>2.1930000000000001</v>
      </c>
      <c r="I28" s="123">
        <f>1-(G28/100)</f>
        <v>1.0009532999999999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2.1930000000000001</v>
      </c>
      <c r="N28" s="12">
        <f t="shared" ref="N28:N42" si="1">IFERROR(VLOOKUP($A$6,C28:I28,7,0),0)</f>
        <v>1.0009532999999999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45965</v>
      </c>
      <c r="B29" s="151" t="s">
        <v>181</v>
      </c>
      <c r="C29" s="134" t="str">
        <f t="shared" ref="C29" si="4">A7</f>
        <v>4:1/5%</v>
      </c>
      <c r="D29" s="135">
        <v>5</v>
      </c>
      <c r="E29" s="79">
        <v>-2.7E-2</v>
      </c>
      <c r="F29" s="57">
        <v>1</v>
      </c>
      <c r="G29" s="124">
        <f t="shared" ref="G29" si="5">E29-((B7-1)*100)</f>
        <v>-9.4330000000009878E-2</v>
      </c>
      <c r="H29" s="124">
        <f t="shared" ref="H29" si="6">F29+C7</f>
        <v>2.657</v>
      </c>
      <c r="I29" s="125">
        <f t="shared" ref="I29:I30" si="7">1-(G29/100)</f>
        <v>1.0009433000000001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2.657</v>
      </c>
      <c r="P29" s="12">
        <f t="shared" si="3"/>
        <v>1.0009433000000001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45965</v>
      </c>
      <c r="B30" s="151" t="s">
        <v>181</v>
      </c>
      <c r="C30" s="134" t="str">
        <f>A9</f>
        <v>4:1/20%</v>
      </c>
      <c r="D30" s="135">
        <v>5</v>
      </c>
      <c r="E30" s="79">
        <v>-4.2000000000000003E-2</v>
      </c>
      <c r="F30" s="57">
        <v>0.89</v>
      </c>
      <c r="G30" s="124">
        <f>E30-((B9-1)*100)</f>
        <v>-9.1999999999994503E-2</v>
      </c>
      <c r="H30" s="124">
        <f>F30+C9</f>
        <v>1.7069999999999999</v>
      </c>
      <c r="I30" s="125">
        <f t="shared" si="7"/>
        <v>1.00092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1.7069999999999999</v>
      </c>
      <c r="R30" s="12">
        <f>IFERROR(VLOOKUP($A$9,C30:I30,7,0),IFERROR(VLOOKUP($A$12,C30:I30,7,0),IFERROR(VLOOKUP($A$14,C30:I30,7,0),0)))</f>
        <v>1.00092</v>
      </c>
    </row>
    <row r="31" spans="1:21" s="10" customFormat="1" ht="13.9" customHeight="1" x14ac:dyDescent="0.25">
      <c r="A31" s="163">
        <v>45965</v>
      </c>
      <c r="B31" s="151" t="s">
        <v>181</v>
      </c>
      <c r="C31" s="134" t="str">
        <f>A12</f>
        <v>4:1/100%</v>
      </c>
      <c r="D31" s="135">
        <v>5</v>
      </c>
      <c r="E31" s="79">
        <v>-2.1000000000000001E-2</v>
      </c>
      <c r="F31" s="57">
        <v>-0.04</v>
      </c>
      <c r="G31" s="124">
        <f>E31-((B12-1)*100)</f>
        <v>-6.2000000000002151E-2</v>
      </c>
      <c r="H31" s="124">
        <f>F31+C12</f>
        <v>0.65999999999999992</v>
      </c>
      <c r="I31" s="125">
        <f>1-(G31/100)</f>
        <v>1.0006200000000001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0.65999999999999992</v>
      </c>
      <c r="R31" s="12">
        <f t="shared" ref="R31:R41" si="10">IFERROR(VLOOKUP($A$9,C31:I31,7,0),IFERROR(VLOOKUP($A$12,C31:I31,7,0),IFERROR(VLOOKUP($A$14,C31:I31,7,0),0)))</f>
        <v>1.0006200000000001</v>
      </c>
    </row>
    <row r="32" spans="1:21" s="10" customFormat="1" ht="13.9" customHeight="1" thickBot="1" x14ac:dyDescent="0.3">
      <c r="A32" s="165">
        <v>45965</v>
      </c>
      <c r="B32" s="166" t="s">
        <v>181</v>
      </c>
      <c r="C32" s="136" t="str">
        <f>A13</f>
        <v>4:1/120%</v>
      </c>
      <c r="D32" s="137">
        <v>5</v>
      </c>
      <c r="E32" s="119">
        <v>-0.02</v>
      </c>
      <c r="F32" s="120">
        <v>-0.11</v>
      </c>
      <c r="G32" s="126">
        <f>E32-((B13-1)*100)</f>
        <v>-6.0330000000010639E-2</v>
      </c>
      <c r="H32" s="126">
        <f>F32+C13</f>
        <v>0.58299999999999996</v>
      </c>
      <c r="I32" s="127">
        <f t="shared" ref="I32" si="11">1-(G32/100)</f>
        <v>1.0006033000000001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0.58299999999999996</v>
      </c>
      <c r="R32" s="141">
        <f>I32</f>
        <v>1.0006033000000001</v>
      </c>
    </row>
    <row r="33" spans="1:21" s="10" customFormat="1" ht="13.9" customHeight="1" thickTop="1" x14ac:dyDescent="0.25">
      <c r="A33" s="164">
        <v>45965</v>
      </c>
      <c r="B33" s="116" t="s">
        <v>182</v>
      </c>
      <c r="C33" s="138" t="str">
        <f>A6</f>
        <v>4:1/1%</v>
      </c>
      <c r="D33" s="138">
        <v>5</v>
      </c>
      <c r="E33" s="117">
        <v>1.9E-2</v>
      </c>
      <c r="F33" s="118">
        <v>-3.29</v>
      </c>
      <c r="G33" s="128">
        <f>E33-((B6-1)*100)</f>
        <v>-6.4330000000003676E-2</v>
      </c>
      <c r="H33" s="128">
        <f>F33+C6</f>
        <v>-0.44700000000000006</v>
      </c>
      <c r="I33" s="129">
        <f>1-(G33/100)</f>
        <v>1.0006433000000001</v>
      </c>
      <c r="J33" s="11" t="e">
        <f>IF(K33=1,26*(#REF!+ABS(G33)),26*(#REF!-ABS(G33)))</f>
        <v>#REF!</v>
      </c>
      <c r="K33" s="11">
        <f t="shared" si="8"/>
        <v>0</v>
      </c>
      <c r="M33" s="69">
        <f t="shared" si="0"/>
        <v>-0.44700000000000006</v>
      </c>
      <c r="N33" s="12">
        <f t="shared" si="1"/>
        <v>1.0006433000000001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45965</v>
      </c>
      <c r="B34" s="151" t="s">
        <v>182</v>
      </c>
      <c r="C34" s="135" t="str">
        <f>A7</f>
        <v>4:1/5%</v>
      </c>
      <c r="D34" s="135">
        <v>5</v>
      </c>
      <c r="E34" s="79">
        <v>-3.0000000000000001E-3</v>
      </c>
      <c r="F34" s="57">
        <v>-0.51</v>
      </c>
      <c r="G34" s="124">
        <f>E34-((B7-1)*100)</f>
        <v>-7.0330000000009885E-2</v>
      </c>
      <c r="H34" s="124">
        <f>F34+C7</f>
        <v>1.147</v>
      </c>
      <c r="I34" s="125">
        <f t="shared" ref="I34:I35" si="12">1-(G34/100)</f>
        <v>1.0007033000000001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1.147</v>
      </c>
      <c r="P34" s="12">
        <f t="shared" si="3"/>
        <v>1.0007033000000001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45965</v>
      </c>
      <c r="B35" s="151" t="s">
        <v>182</v>
      </c>
      <c r="C35" s="135" t="str">
        <f>A9</f>
        <v>4:1/20%</v>
      </c>
      <c r="D35" s="135">
        <v>5</v>
      </c>
      <c r="E35" s="79">
        <v>-1.6E-2</v>
      </c>
      <c r="F35" s="57">
        <v>0.18</v>
      </c>
      <c r="G35" s="124">
        <f>E35-((B9-1)*100)</f>
        <v>-6.5999999999994494E-2</v>
      </c>
      <c r="H35" s="124">
        <f>F35+C9</f>
        <v>0.99699999999999989</v>
      </c>
      <c r="I35" s="125">
        <f t="shared" si="12"/>
        <v>1.0006599999999999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0.99699999999999989</v>
      </c>
      <c r="R35" s="12">
        <f t="shared" si="10"/>
        <v>1.0006599999999999</v>
      </c>
    </row>
    <row r="36" spans="1:21" s="10" customFormat="1" ht="13.9" customHeight="1" x14ac:dyDescent="0.25">
      <c r="A36" s="163">
        <v>45965</v>
      </c>
      <c r="B36" s="151" t="s">
        <v>182</v>
      </c>
      <c r="C36" s="135" t="str">
        <f>A12</f>
        <v>4:1/100%</v>
      </c>
      <c r="D36" s="135">
        <v>5</v>
      </c>
      <c r="E36" s="79">
        <v>-1.6E-2</v>
      </c>
      <c r="F36" s="57">
        <v>7.0000000000000007E-2</v>
      </c>
      <c r="G36" s="124">
        <f>E36-((B12-1)*100)</f>
        <v>-5.7000000000002146E-2</v>
      </c>
      <c r="H36" s="124">
        <f>F36+C12</f>
        <v>0.77</v>
      </c>
      <c r="I36" s="125">
        <f>1-(G36/100)</f>
        <v>1.00057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0.77</v>
      </c>
      <c r="R36" s="12">
        <f t="shared" si="10"/>
        <v>1.00057</v>
      </c>
    </row>
    <row r="37" spans="1:21" s="10" customFormat="1" ht="13.9" customHeight="1" thickBot="1" x14ac:dyDescent="0.3">
      <c r="A37" s="165">
        <v>45965</v>
      </c>
      <c r="B37" s="166" t="s">
        <v>182</v>
      </c>
      <c r="C37" s="137" t="str">
        <f>A13</f>
        <v>4:1/120%</v>
      </c>
      <c r="D37" s="137">
        <v>5</v>
      </c>
      <c r="E37" s="119">
        <v>-1.7000000000000001E-2</v>
      </c>
      <c r="F37" s="120">
        <v>0.08</v>
      </c>
      <c r="G37" s="126">
        <f>E37-((B13-1)*100)</f>
        <v>-5.7330000000010636E-2</v>
      </c>
      <c r="H37" s="126">
        <f>F37+C13</f>
        <v>0.77299999999999991</v>
      </c>
      <c r="I37" s="127">
        <f t="shared" ref="I37" si="13">1-(G37/100)</f>
        <v>1.0005733000000001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0.77299999999999991</v>
      </c>
      <c r="R37" s="141">
        <f>I37</f>
        <v>1.0005733000000001</v>
      </c>
    </row>
    <row r="38" spans="1:21" s="10" customFormat="1" ht="13.9" customHeight="1" thickTop="1" x14ac:dyDescent="0.25">
      <c r="A38" s="164">
        <v>45965</v>
      </c>
      <c r="B38" s="116" t="s">
        <v>183</v>
      </c>
      <c r="C38" s="138" t="str">
        <f>A6</f>
        <v>4:1/1%</v>
      </c>
      <c r="D38" s="138">
        <v>5</v>
      </c>
      <c r="E38" s="117">
        <v>-0.01</v>
      </c>
      <c r="F38" s="118">
        <v>-0.68</v>
      </c>
      <c r="G38" s="128">
        <f>E38-((B6-1)*100)</f>
        <v>-9.3330000000003674E-2</v>
      </c>
      <c r="H38" s="128">
        <f>F38+C6</f>
        <v>2.1629999999999998</v>
      </c>
      <c r="I38" s="129">
        <f>1-(G38/100)</f>
        <v>1.0009333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2.1629999999999998</v>
      </c>
      <c r="N38" s="12">
        <f t="shared" si="1"/>
        <v>1.0009333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45965</v>
      </c>
      <c r="B39" s="151" t="s">
        <v>183</v>
      </c>
      <c r="C39" s="135" t="str">
        <f>A7</f>
        <v>4:1/5%</v>
      </c>
      <c r="D39" s="135">
        <v>5</v>
      </c>
      <c r="E39" s="79">
        <v>-1.7000000000000001E-2</v>
      </c>
      <c r="F39" s="57">
        <v>0.25</v>
      </c>
      <c r="G39" s="124">
        <f>E39-((B7-1)*100)</f>
        <v>-8.4330000000009883E-2</v>
      </c>
      <c r="H39" s="124">
        <f>F39+C7</f>
        <v>1.907</v>
      </c>
      <c r="I39" s="125">
        <f t="shared" ref="I39:I40" si="14">1-(G39/100)</f>
        <v>1.0008433000000001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1.907</v>
      </c>
      <c r="P39" s="12">
        <f t="shared" si="3"/>
        <v>1.0008433000000001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45965</v>
      </c>
      <c r="B40" s="151" t="s">
        <v>183</v>
      </c>
      <c r="C40" s="135" t="str">
        <f>A9</f>
        <v>4:1/20%</v>
      </c>
      <c r="D40" s="135">
        <v>5</v>
      </c>
      <c r="E40" s="79">
        <v>-2.9000000000000001E-2</v>
      </c>
      <c r="F40" s="57">
        <v>0.54</v>
      </c>
      <c r="G40" s="124">
        <f>E40-((B9-1)*100)</f>
        <v>-7.8999999999994491E-2</v>
      </c>
      <c r="H40" s="124">
        <f>F40+C9</f>
        <v>1.357</v>
      </c>
      <c r="I40" s="125">
        <f t="shared" si="14"/>
        <v>1.0007899999999998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1.357</v>
      </c>
      <c r="R40" s="12">
        <f t="shared" si="10"/>
        <v>1.0007899999999998</v>
      </c>
    </row>
    <row r="41" spans="1:21" s="10" customFormat="1" ht="13.9" customHeight="1" x14ac:dyDescent="0.25">
      <c r="A41" s="163">
        <v>45965</v>
      </c>
      <c r="B41" s="151" t="s">
        <v>183</v>
      </c>
      <c r="C41" s="135" t="str">
        <f>A12</f>
        <v>4:1/100%</v>
      </c>
      <c r="D41" s="135">
        <v>5</v>
      </c>
      <c r="E41" s="79">
        <v>-0.02</v>
      </c>
      <c r="F41" s="57">
        <v>0.18</v>
      </c>
      <c r="G41" s="124">
        <f>E41-((B12-1)*100)</f>
        <v>-6.100000000000215E-2</v>
      </c>
      <c r="H41" s="124">
        <f>F41+C12</f>
        <v>0.87999999999999989</v>
      </c>
      <c r="I41" s="125">
        <f>1-(G41/100)</f>
        <v>1.00061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0.87999999999999989</v>
      </c>
      <c r="R41" s="12">
        <f t="shared" si="10"/>
        <v>1.00061</v>
      </c>
    </row>
    <row r="42" spans="1:21" s="10" customFormat="1" ht="13.9" customHeight="1" thickBot="1" x14ac:dyDescent="0.3">
      <c r="A42" s="167">
        <v>45965</v>
      </c>
      <c r="B42" s="168" t="s">
        <v>183</v>
      </c>
      <c r="C42" s="139" t="str">
        <f>A13</f>
        <v>4:1/120%</v>
      </c>
      <c r="D42" s="139">
        <v>5</v>
      </c>
      <c r="E42" s="80">
        <v>-0.05</v>
      </c>
      <c r="F42" s="78">
        <v>2.97</v>
      </c>
      <c r="G42" s="130">
        <f>E42-((B13-1)*100)</f>
        <v>-9.0330000000010638E-2</v>
      </c>
      <c r="H42" s="130">
        <f>F42+C13</f>
        <v>3.6630000000000003</v>
      </c>
      <c r="I42" s="131">
        <f t="shared" ref="I42" si="16">1-(G42/100)</f>
        <v>1.0009033000000001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3.6630000000000003</v>
      </c>
      <c r="R42" s="141">
        <f>I42</f>
        <v>1.0009033000000001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1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C5E4-8743-4B04-AFF8-8E5C059C619E}">
  <dimension ref="A1:U43"/>
  <sheetViews>
    <sheetView showGridLines="0" view="pageBreakPreview" topLeftCell="A6" zoomScaleNormal="115" zoomScaleSheetLayoutView="100" workbookViewId="0">
      <selection activeCell="B6" sqref="B6:C14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9"/>
      <c r="C1" s="189"/>
      <c r="D1" s="189"/>
      <c r="E1" s="189"/>
      <c r="F1" s="189"/>
      <c r="G1" s="189"/>
      <c r="H1" s="189"/>
      <c r="I1" s="190"/>
    </row>
    <row r="2" spans="1:21" s="10" customFormat="1" ht="12" thickBot="1" x14ac:dyDescent="0.3">
      <c r="A2" s="98"/>
      <c r="D2" s="152"/>
      <c r="I2" s="99"/>
    </row>
    <row r="3" spans="1:21" s="10" customFormat="1" ht="12" thickBot="1" x14ac:dyDescent="0.3">
      <c r="A3" s="91"/>
      <c r="B3" s="92" t="s">
        <v>75</v>
      </c>
      <c r="C3" s="111" t="s">
        <v>138</v>
      </c>
      <c r="D3" s="153"/>
      <c r="I3" s="99"/>
    </row>
    <row r="4" spans="1:21" s="10" customFormat="1" ht="11.25" x14ac:dyDescent="0.25">
      <c r="A4" s="191" t="s">
        <v>40</v>
      </c>
      <c r="B4" s="192"/>
      <c r="C4" s="193"/>
      <c r="D4" s="153"/>
      <c r="I4" s="99"/>
    </row>
    <row r="5" spans="1:21" s="10" customFormat="1" ht="11.25" x14ac:dyDescent="0.25">
      <c r="A5" s="121" t="s">
        <v>74</v>
      </c>
      <c r="B5" s="38" t="s">
        <v>29</v>
      </c>
      <c r="C5" s="93" t="s">
        <v>70</v>
      </c>
      <c r="D5" s="152"/>
      <c r="E5" s="152"/>
      <c r="F5" s="152"/>
      <c r="G5" s="152"/>
      <c r="H5" s="154"/>
      <c r="I5" s="155"/>
      <c r="M5" s="37" t="s">
        <v>39</v>
      </c>
      <c r="N5" s="37" t="s">
        <v>37</v>
      </c>
      <c r="O5" s="37" t="s">
        <v>38</v>
      </c>
    </row>
    <row r="6" spans="1:21" s="10" customFormat="1" ht="11.25" x14ac:dyDescent="0.25">
      <c r="A6" s="113" t="s">
        <v>120</v>
      </c>
      <c r="B6" s="112">
        <f>1-(-0.08333/100)</f>
        <v>1.0008333</v>
      </c>
      <c r="C6" s="148">
        <v>2.843</v>
      </c>
      <c r="E6" s="152"/>
      <c r="F6" s="152"/>
      <c r="G6" s="152"/>
      <c r="H6" s="154"/>
      <c r="I6" s="155"/>
      <c r="M6" s="194" t="s">
        <v>88</v>
      </c>
      <c r="N6" s="194">
        <v>-1.5</v>
      </c>
      <c r="O6" s="194">
        <v>1.5</v>
      </c>
      <c r="P6" s="87" t="s">
        <v>50</v>
      </c>
      <c r="Q6" s="87">
        <v>90</v>
      </c>
      <c r="R6" s="87">
        <v>-90</v>
      </c>
      <c r="S6" s="87">
        <f>R6</f>
        <v>-90</v>
      </c>
      <c r="T6" s="87">
        <f>Q6</f>
        <v>90</v>
      </c>
      <c r="U6" s="87">
        <f>Q6</f>
        <v>90</v>
      </c>
    </row>
    <row r="7" spans="1:21" s="10" customFormat="1" ht="11.25" x14ac:dyDescent="0.25">
      <c r="A7" s="114" t="s">
        <v>121</v>
      </c>
      <c r="B7" s="112">
        <f>1-(-0.06733/100)</f>
        <v>1.0006733000000001</v>
      </c>
      <c r="C7" s="148">
        <v>1.657</v>
      </c>
      <c r="E7" s="152"/>
      <c r="F7" s="152"/>
      <c r="G7" s="152"/>
      <c r="H7" s="154"/>
      <c r="I7" s="155"/>
      <c r="M7" s="195"/>
      <c r="N7" s="195"/>
      <c r="O7" s="195"/>
      <c r="P7" s="87" t="s">
        <v>29</v>
      </c>
      <c r="Q7" s="87">
        <f>1-N6/100</f>
        <v>1.0149999999999999</v>
      </c>
      <c r="R7" s="87">
        <f>Q7</f>
        <v>1.0149999999999999</v>
      </c>
      <c r="S7" s="87">
        <f>1-O6/100</f>
        <v>0.98499999999999999</v>
      </c>
      <c r="T7" s="87">
        <f>S7</f>
        <v>0.98499999999999999</v>
      </c>
      <c r="U7" s="87">
        <f>R7</f>
        <v>1.0149999999999999</v>
      </c>
    </row>
    <row r="8" spans="1:21" s="10" customFormat="1" ht="11.25" x14ac:dyDescent="0.25">
      <c r="A8" s="114" t="s">
        <v>122</v>
      </c>
      <c r="B8" s="112">
        <f>1-(-0.055/100)</f>
        <v>1.0005500000000001</v>
      </c>
      <c r="C8" s="148">
        <v>1.073</v>
      </c>
      <c r="E8" s="152"/>
      <c r="F8" s="152"/>
      <c r="G8" s="152"/>
      <c r="H8" s="154"/>
      <c r="I8" s="155"/>
      <c r="M8" s="68"/>
      <c r="N8" s="68"/>
      <c r="O8" s="68"/>
      <c r="P8" s="35"/>
      <c r="Q8" s="37"/>
      <c r="R8" s="37"/>
      <c r="S8" s="37"/>
      <c r="T8" s="37"/>
      <c r="U8" s="37"/>
    </row>
    <row r="9" spans="1:21" s="10" customFormat="1" ht="11.25" x14ac:dyDescent="0.25">
      <c r="A9" s="114" t="s">
        <v>123</v>
      </c>
      <c r="B9" s="112">
        <f>1-(-0.05/100)</f>
        <v>1.0004999999999999</v>
      </c>
      <c r="C9" s="149">
        <v>0.81699999999999995</v>
      </c>
      <c r="E9" s="152"/>
      <c r="F9" s="152"/>
      <c r="G9" s="152"/>
      <c r="H9" s="154"/>
      <c r="I9" s="155"/>
      <c r="M9" s="199" t="s">
        <v>89</v>
      </c>
      <c r="N9" s="199">
        <v>-0.75</v>
      </c>
      <c r="O9" s="199">
        <v>0.75</v>
      </c>
      <c r="P9" s="86" t="s">
        <v>50</v>
      </c>
      <c r="Q9" s="86">
        <v>45</v>
      </c>
      <c r="R9" s="86">
        <v>-45</v>
      </c>
      <c r="S9" s="86">
        <f>R9</f>
        <v>-45</v>
      </c>
      <c r="T9" s="86">
        <f>Q9</f>
        <v>45</v>
      </c>
      <c r="U9" s="86">
        <f>Q9</f>
        <v>45</v>
      </c>
    </row>
    <row r="10" spans="1:21" s="10" customFormat="1" ht="11.25" x14ac:dyDescent="0.25">
      <c r="A10" s="114" t="s">
        <v>124</v>
      </c>
      <c r="B10" s="112">
        <f>1-(-0.043/100)</f>
        <v>1.0004299999999999</v>
      </c>
      <c r="C10" s="149">
        <v>0.79300000000000004</v>
      </c>
      <c r="E10" s="152"/>
      <c r="F10" s="152"/>
      <c r="G10" s="152"/>
      <c r="H10" s="154"/>
      <c r="I10" s="155"/>
      <c r="M10" s="200"/>
      <c r="N10" s="200"/>
      <c r="O10" s="200"/>
      <c r="P10" s="86" t="s">
        <v>29</v>
      </c>
      <c r="Q10" s="86">
        <f>1-N9/100</f>
        <v>1.0075000000000001</v>
      </c>
      <c r="R10" s="86">
        <f>Q10</f>
        <v>1.0075000000000001</v>
      </c>
      <c r="S10" s="86">
        <f>1-O9/100</f>
        <v>0.99250000000000005</v>
      </c>
      <c r="T10" s="86">
        <f>S10</f>
        <v>0.99250000000000005</v>
      </c>
      <c r="U10" s="86">
        <f>R10</f>
        <v>1.0075000000000001</v>
      </c>
    </row>
    <row r="11" spans="1:21" s="10" customFormat="1" ht="11.25" x14ac:dyDescent="0.25">
      <c r="A11" s="114" t="s">
        <v>125</v>
      </c>
      <c r="B11" s="112">
        <f>1-(-0.043/100)</f>
        <v>1.0004299999999999</v>
      </c>
      <c r="C11" s="149">
        <v>0.79300000000000004</v>
      </c>
      <c r="E11" s="152"/>
      <c r="F11" s="152"/>
      <c r="G11" s="152"/>
      <c r="H11" s="154"/>
      <c r="I11" s="155"/>
      <c r="M11" s="68"/>
      <c r="N11" s="68"/>
      <c r="O11" s="68"/>
      <c r="P11" s="35"/>
      <c r="Q11" s="37"/>
      <c r="R11" s="37"/>
      <c r="S11" s="37"/>
      <c r="T11" s="37"/>
      <c r="U11" s="37"/>
    </row>
    <row r="12" spans="1:21" s="10" customFormat="1" ht="11.25" x14ac:dyDescent="0.25">
      <c r="A12" s="114" t="s">
        <v>126</v>
      </c>
      <c r="B12" s="112">
        <f>1-(-0.041/100)</f>
        <v>1.00041</v>
      </c>
      <c r="C12" s="149">
        <v>0.7</v>
      </c>
      <c r="E12" s="152"/>
      <c r="F12" s="152"/>
      <c r="G12" s="152"/>
      <c r="H12" s="154"/>
      <c r="I12" s="155"/>
      <c r="M12" s="201" t="s">
        <v>90</v>
      </c>
      <c r="N12" s="201">
        <v>-0.5</v>
      </c>
      <c r="O12" s="201">
        <v>0.5</v>
      </c>
      <c r="P12" s="85" t="s">
        <v>50</v>
      </c>
      <c r="Q12" s="85">
        <v>30</v>
      </c>
      <c r="R12" s="85">
        <v>-30</v>
      </c>
      <c r="S12" s="85">
        <f>R12</f>
        <v>-30</v>
      </c>
      <c r="T12" s="85">
        <f>Q12</f>
        <v>30</v>
      </c>
      <c r="U12" s="85">
        <f>Q12</f>
        <v>30</v>
      </c>
    </row>
    <row r="13" spans="1:21" s="10" customFormat="1" ht="11.25" x14ac:dyDescent="0.25">
      <c r="A13" s="114" t="s">
        <v>127</v>
      </c>
      <c r="B13" s="112">
        <f>1-(-0.04033/100)</f>
        <v>1.0004033000000001</v>
      </c>
      <c r="C13" s="149">
        <v>0.69299999999999995</v>
      </c>
      <c r="E13" s="152"/>
      <c r="F13" s="152"/>
      <c r="G13" s="152"/>
      <c r="H13" s="154"/>
      <c r="I13" s="155"/>
      <c r="M13" s="202"/>
      <c r="N13" s="202"/>
      <c r="O13" s="202"/>
      <c r="P13" s="85" t="s">
        <v>29</v>
      </c>
      <c r="Q13" s="85">
        <f>1-N12/100</f>
        <v>1.0049999999999999</v>
      </c>
      <c r="R13" s="85">
        <f>Q13</f>
        <v>1.0049999999999999</v>
      </c>
      <c r="S13" s="85">
        <f>1-O12/100</f>
        <v>0.995</v>
      </c>
      <c r="T13" s="85">
        <f>S13</f>
        <v>0.995</v>
      </c>
      <c r="U13" s="85">
        <f>R13</f>
        <v>1.0049999999999999</v>
      </c>
    </row>
    <row r="14" spans="1:21" s="10" customFormat="1" ht="11.25" x14ac:dyDescent="0.25">
      <c r="A14" s="114" t="s">
        <v>128</v>
      </c>
      <c r="B14" s="112">
        <f>1-(-0.03867/100)</f>
        <v>1.0003867</v>
      </c>
      <c r="C14" s="148">
        <v>0.68700000000000006</v>
      </c>
      <c r="E14" s="152"/>
      <c r="F14" s="152"/>
      <c r="G14" s="152"/>
      <c r="H14" s="154"/>
      <c r="I14" s="155"/>
      <c r="M14" s="37"/>
      <c r="N14" s="37"/>
      <c r="O14" s="37"/>
      <c r="P14" s="35"/>
      <c r="Q14" s="37"/>
      <c r="R14" s="37"/>
      <c r="S14" s="37"/>
      <c r="T14" s="37"/>
      <c r="U14" s="37"/>
    </row>
    <row r="15" spans="1:21" s="10" customFormat="1" ht="11.25" x14ac:dyDescent="0.25">
      <c r="A15" s="94"/>
      <c r="B15" s="156"/>
      <c r="C15" s="95"/>
      <c r="D15" s="152"/>
      <c r="E15" s="152"/>
      <c r="F15" s="152"/>
      <c r="G15" s="152"/>
      <c r="H15" s="154"/>
      <c r="I15" s="155"/>
    </row>
    <row r="16" spans="1:21" s="10" customFormat="1" ht="11.25" x14ac:dyDescent="0.25">
      <c r="A16" s="96" t="s">
        <v>67</v>
      </c>
      <c r="B16" s="60" t="s">
        <v>115</v>
      </c>
      <c r="C16" s="97" t="s">
        <v>116</v>
      </c>
      <c r="D16" s="152"/>
      <c r="E16" s="152"/>
      <c r="F16" s="152"/>
      <c r="G16" s="152"/>
      <c r="H16" s="154"/>
      <c r="I16" s="155"/>
    </row>
    <row r="17" spans="1:21" s="10" customFormat="1" ht="11.25" x14ac:dyDescent="0.25">
      <c r="A17" s="98"/>
      <c r="C17" s="99"/>
      <c r="G17" s="157"/>
      <c r="H17" s="157"/>
      <c r="I17" s="158"/>
    </row>
    <row r="18" spans="1:21" s="10" customFormat="1" ht="11.25" x14ac:dyDescent="0.25">
      <c r="A18" s="196" t="s">
        <v>43</v>
      </c>
      <c r="B18" s="197"/>
      <c r="C18" s="198"/>
      <c r="D18" s="159"/>
      <c r="E18" s="159"/>
      <c r="F18" s="159"/>
      <c r="G18" s="152"/>
      <c r="H18" s="152"/>
      <c r="I18" s="160"/>
    </row>
    <row r="19" spans="1:21" s="10" customFormat="1" ht="11.25" x14ac:dyDescent="0.25">
      <c r="A19" s="100" t="s">
        <v>41</v>
      </c>
      <c r="B19" s="13"/>
      <c r="C19" s="101" t="s">
        <v>113</v>
      </c>
      <c r="G19" s="152"/>
      <c r="H19" s="161"/>
      <c r="I19" s="162"/>
    </row>
    <row r="20" spans="1:21" s="10" customFormat="1" ht="12" thickBot="1" x14ac:dyDescent="0.3">
      <c r="A20" s="102" t="s">
        <v>42</v>
      </c>
      <c r="B20" s="103"/>
      <c r="C20" s="104" t="s">
        <v>114</v>
      </c>
      <c r="G20" s="152"/>
      <c r="H20" s="161"/>
      <c r="I20" s="162"/>
    </row>
    <row r="21" spans="1:21" s="10" customFormat="1" ht="12" thickBot="1" x14ac:dyDescent="0.3">
      <c r="A21" s="98"/>
      <c r="E21" s="152"/>
      <c r="G21" s="152"/>
      <c r="H21" s="161"/>
      <c r="I21" s="162"/>
    </row>
    <row r="22" spans="1:21" s="10" customFormat="1" ht="11.25" x14ac:dyDescent="0.25">
      <c r="A22" s="105" t="s">
        <v>63</v>
      </c>
      <c r="B22" s="106"/>
      <c r="C22" s="107">
        <v>21.5</v>
      </c>
      <c r="E22" s="152"/>
      <c r="G22" s="152"/>
      <c r="H22" s="161"/>
      <c r="I22" s="162"/>
    </row>
    <row r="23" spans="1:21" s="10" customFormat="1" ht="12.75" customHeight="1" thickBot="1" x14ac:dyDescent="0.3">
      <c r="A23" s="108" t="s">
        <v>49</v>
      </c>
      <c r="B23" s="109"/>
      <c r="C23" s="110">
        <v>36</v>
      </c>
      <c r="E23" s="152"/>
      <c r="G23" s="152"/>
      <c r="H23" s="161"/>
      <c r="I23" s="16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A24" s="98"/>
      <c r="G24" s="152"/>
      <c r="H24" s="152"/>
      <c r="I24" s="162"/>
    </row>
    <row r="25" spans="1:21" s="8" customFormat="1" ht="19.899999999999999" customHeight="1" x14ac:dyDescent="0.25">
      <c r="A25" s="203" t="s">
        <v>64</v>
      </c>
      <c r="B25" s="204"/>
      <c r="C25" s="204"/>
      <c r="D25" s="204"/>
      <c r="E25" s="204"/>
      <c r="F25" s="204"/>
      <c r="G25" s="204"/>
      <c r="H25" s="204"/>
      <c r="I25" s="205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206" t="s">
        <v>66</v>
      </c>
      <c r="B26" s="208" t="s">
        <v>84</v>
      </c>
      <c r="C26" s="58" t="s">
        <v>36</v>
      </c>
      <c r="D26" s="36" t="s">
        <v>35</v>
      </c>
      <c r="E26" s="208" t="s">
        <v>34</v>
      </c>
      <c r="F26" s="208"/>
      <c r="G26" s="208" t="s">
        <v>33</v>
      </c>
      <c r="H26" s="208"/>
      <c r="I26" s="210" t="s">
        <v>29</v>
      </c>
    </row>
    <row r="27" spans="1:21" s="10" customFormat="1" ht="13.5" thickBot="1" x14ac:dyDescent="0.3">
      <c r="A27" s="207"/>
      <c r="B27" s="209"/>
      <c r="C27" s="84" t="s">
        <v>32</v>
      </c>
      <c r="D27" s="84" t="s">
        <v>31</v>
      </c>
      <c r="E27" s="84" t="s">
        <v>30</v>
      </c>
      <c r="F27" s="88" t="s">
        <v>70</v>
      </c>
      <c r="G27" s="84" t="s">
        <v>30</v>
      </c>
      <c r="H27" s="88" t="s">
        <v>70</v>
      </c>
      <c r="I27" s="211"/>
      <c r="M27" s="67" t="s">
        <v>91</v>
      </c>
      <c r="N27" s="61"/>
      <c r="O27" s="67" t="s">
        <v>92</v>
      </c>
      <c r="P27" s="61"/>
      <c r="Q27" s="62" t="s">
        <v>93</v>
      </c>
      <c r="R27" s="61"/>
    </row>
    <row r="28" spans="1:21" s="10" customFormat="1" ht="13.9" customHeight="1" x14ac:dyDescent="0.25">
      <c r="A28" s="115">
        <v>45957</v>
      </c>
      <c r="B28" s="150" t="s">
        <v>184</v>
      </c>
      <c r="C28" s="132" t="str">
        <f>A6</f>
        <v>4:1/1%</v>
      </c>
      <c r="D28" s="133">
        <v>5</v>
      </c>
      <c r="E28" s="89"/>
      <c r="F28" s="90"/>
      <c r="G28" s="122">
        <f>E28-((B6-1)*100)</f>
        <v>-8.3330000000003679E-2</v>
      </c>
      <c r="H28" s="122">
        <f>F28+C6</f>
        <v>2.843</v>
      </c>
      <c r="I28" s="123">
        <f>1-(G28/100)</f>
        <v>1.0008333</v>
      </c>
      <c r="J28" s="11" t="e">
        <f>IF(K28=1,26*(#REF!+ABS(G28)),26*(#REF!-ABS(G28)))</f>
        <v>#REF!</v>
      </c>
      <c r="K28" s="11">
        <f>IF(G28&gt;0,IF(H28&gt;0,1,0),IF(H28&gt;0,1,0))</f>
        <v>1</v>
      </c>
      <c r="M28" s="69">
        <f t="shared" ref="M28:M42" si="0">IFERROR(VLOOKUP($A$6,C28:I28,6,0),0)</f>
        <v>2.843</v>
      </c>
      <c r="N28" s="12">
        <f t="shared" ref="N28:N42" si="1">IFERROR(VLOOKUP($A$6,C28:I28,7,0),0)</f>
        <v>1.0008333</v>
      </c>
      <c r="O28" s="69">
        <f t="shared" ref="O28:O42" si="2">IFERROR(VLOOKUP($A$7,C28:I28,6,0),0)</f>
        <v>0</v>
      </c>
      <c r="P28" s="12">
        <f t="shared" ref="P28:P42" si="3">IFERROR(VLOOKUP($A$7,C28:I28,7,0),0)</f>
        <v>0</v>
      </c>
      <c r="Q28" s="69">
        <f>IFERROR(VLOOKUP($A$9,C28:I28,6,0),IFERROR(VLOOKUP($A$12,C28:I28,6,0),IFERROR(VLOOKUP($A$14,C28:I28,6,0),0)))</f>
        <v>0</v>
      </c>
      <c r="R28" s="12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3">
        <v>45957</v>
      </c>
      <c r="B29" s="151" t="s">
        <v>184</v>
      </c>
      <c r="C29" s="134" t="str">
        <f t="shared" ref="C29" si="4">A7</f>
        <v>4:1/5%</v>
      </c>
      <c r="D29" s="135">
        <v>5</v>
      </c>
      <c r="E29" s="79"/>
      <c r="F29" s="57"/>
      <c r="G29" s="124">
        <f t="shared" ref="G29" si="5">E29-((B7-1)*100)</f>
        <v>-6.7330000000009882E-2</v>
      </c>
      <c r="H29" s="124">
        <f t="shared" ref="H29" si="6">F29+C7</f>
        <v>1.657</v>
      </c>
      <c r="I29" s="125">
        <f t="shared" ref="I29:I30" si="7">1-(G29/100)</f>
        <v>1.0006733000000001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69">
        <f t="shared" si="0"/>
        <v>0</v>
      </c>
      <c r="N29" s="12">
        <f t="shared" si="1"/>
        <v>0</v>
      </c>
      <c r="O29" s="69">
        <f t="shared" si="2"/>
        <v>1.657</v>
      </c>
      <c r="P29" s="12">
        <f t="shared" si="3"/>
        <v>1.0006733000000001</v>
      </c>
      <c r="Q29" s="69">
        <f>IFERROR(VLOOKUP($A$9,C29:I29,6,0),IFERROR(VLOOKUP($A$12,C29:I29,6,0),IFERROR(VLOOKUP($A$14,C29:I29,6,0),0)))</f>
        <v>0</v>
      </c>
      <c r="R29" s="12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3">
        <v>45957</v>
      </c>
      <c r="B30" s="151" t="s">
        <v>184</v>
      </c>
      <c r="C30" s="134" t="str">
        <f>A9</f>
        <v>4:1/20%</v>
      </c>
      <c r="D30" s="135">
        <v>5</v>
      </c>
      <c r="E30" s="79"/>
      <c r="F30" s="57"/>
      <c r="G30" s="124">
        <f>E30-((B9-1)*100)</f>
        <v>-4.9999999999994493E-2</v>
      </c>
      <c r="H30" s="124">
        <f>F30+C9</f>
        <v>0.81699999999999995</v>
      </c>
      <c r="I30" s="125">
        <f t="shared" si="7"/>
        <v>1.0004999999999999</v>
      </c>
      <c r="J30" s="11" t="e">
        <f>IF(K30=1,26*(#REF!+ABS(G30)),26*(#REF!-ABS(G30)))</f>
        <v>#REF!</v>
      </c>
      <c r="K30" s="11">
        <f t="shared" si="8"/>
        <v>1</v>
      </c>
      <c r="M30" s="69">
        <f t="shared" si="0"/>
        <v>0</v>
      </c>
      <c r="N30" s="12">
        <f t="shared" si="1"/>
        <v>0</v>
      </c>
      <c r="O30" s="69">
        <f t="shared" si="2"/>
        <v>0</v>
      </c>
      <c r="P30" s="12">
        <f t="shared" si="3"/>
        <v>0</v>
      </c>
      <c r="Q30" s="69">
        <f>IFERROR(VLOOKUP($A$9,C30:I30,6,0),IFERROR(VLOOKUP($A$12,C30:I30,6,0),IFERROR(VLOOKUP($A$14,C30:I30,6,0),0)))</f>
        <v>0.81699999999999995</v>
      </c>
      <c r="R30" s="12">
        <f>IFERROR(VLOOKUP($A$9,C30:I30,7,0),IFERROR(VLOOKUP($A$12,C30:I30,7,0),IFERROR(VLOOKUP($A$14,C30:I30,7,0),0)))</f>
        <v>1.0004999999999999</v>
      </c>
    </row>
    <row r="31" spans="1:21" s="10" customFormat="1" ht="13.9" customHeight="1" x14ac:dyDescent="0.25">
      <c r="A31" s="163">
        <v>45957</v>
      </c>
      <c r="B31" s="151" t="s">
        <v>184</v>
      </c>
      <c r="C31" s="134" t="str">
        <f>A12</f>
        <v>4:1/100%</v>
      </c>
      <c r="D31" s="135">
        <v>5</v>
      </c>
      <c r="E31" s="79"/>
      <c r="F31" s="57"/>
      <c r="G31" s="124">
        <f>E31-((B12-1)*100)</f>
        <v>-4.1000000000002146E-2</v>
      </c>
      <c r="H31" s="124">
        <f>F31+C12</f>
        <v>0.7</v>
      </c>
      <c r="I31" s="125">
        <f>1-(G31/100)</f>
        <v>1.00041</v>
      </c>
      <c r="J31" s="11" t="e">
        <f>IF(K31=1,26*(#REF!+ABS(G31)),26*(#REF!-ABS(G31)))</f>
        <v>#REF!</v>
      </c>
      <c r="K31" s="11">
        <f t="shared" si="8"/>
        <v>1</v>
      </c>
      <c r="M31" s="69">
        <f t="shared" si="0"/>
        <v>0</v>
      </c>
      <c r="N31" s="12">
        <f t="shared" si="1"/>
        <v>0</v>
      </c>
      <c r="O31" s="69">
        <f t="shared" si="2"/>
        <v>0</v>
      </c>
      <c r="P31" s="12">
        <f t="shared" si="3"/>
        <v>0</v>
      </c>
      <c r="Q31" s="69">
        <f t="shared" ref="Q31:Q41" si="9">IFERROR(VLOOKUP($A$9,C31:I31,6,0),IFERROR(VLOOKUP($A$12,C31:I31,6,0),IFERROR(VLOOKUP($A$14,C31:I31,6,0),0)))</f>
        <v>0.7</v>
      </c>
      <c r="R31" s="12">
        <f t="shared" ref="R31:R41" si="10">IFERROR(VLOOKUP($A$9,C31:I31,7,0),IFERROR(VLOOKUP($A$12,C31:I31,7,0),IFERROR(VLOOKUP($A$14,C31:I31,7,0),0)))</f>
        <v>1.00041</v>
      </c>
    </row>
    <row r="32" spans="1:21" s="10" customFormat="1" ht="13.9" customHeight="1" thickBot="1" x14ac:dyDescent="0.3">
      <c r="A32" s="165">
        <v>45957</v>
      </c>
      <c r="B32" s="166" t="s">
        <v>184</v>
      </c>
      <c r="C32" s="136" t="str">
        <f>A13</f>
        <v>4:1/120%</v>
      </c>
      <c r="D32" s="137">
        <v>5</v>
      </c>
      <c r="E32" s="119"/>
      <c r="F32" s="120"/>
      <c r="G32" s="126">
        <f>E32-((B13-1)*100)</f>
        <v>-4.0330000000010635E-2</v>
      </c>
      <c r="H32" s="126">
        <f>F32+C13</f>
        <v>0.69299999999999995</v>
      </c>
      <c r="I32" s="127">
        <f t="shared" ref="I32" si="11">1-(G32/100)</f>
        <v>1.0004033000000001</v>
      </c>
      <c r="J32" s="11" t="e">
        <f>IF(K32=1,26*(#REF!+ABS(G32)),26*(#REF!-ABS(G32)))</f>
        <v>#REF!</v>
      </c>
      <c r="K32" s="11">
        <f t="shared" si="8"/>
        <v>1</v>
      </c>
      <c r="M32" s="69">
        <f t="shared" si="0"/>
        <v>0</v>
      </c>
      <c r="N32" s="12">
        <f t="shared" si="1"/>
        <v>0</v>
      </c>
      <c r="O32" s="69">
        <f t="shared" si="2"/>
        <v>0</v>
      </c>
      <c r="P32" s="12">
        <f t="shared" si="3"/>
        <v>0</v>
      </c>
      <c r="Q32" s="140">
        <f>H32</f>
        <v>0.69299999999999995</v>
      </c>
      <c r="R32" s="141">
        <f>I32</f>
        <v>1.0004033000000001</v>
      </c>
    </row>
    <row r="33" spans="1:21" s="10" customFormat="1" ht="13.9" customHeight="1" thickTop="1" x14ac:dyDescent="0.25">
      <c r="A33" s="164">
        <v>45957</v>
      </c>
      <c r="B33" s="116" t="s">
        <v>185</v>
      </c>
      <c r="C33" s="138" t="str">
        <f>A6</f>
        <v>4:1/1%</v>
      </c>
      <c r="D33" s="138">
        <v>5</v>
      </c>
      <c r="E33" s="117"/>
      <c r="F33" s="118"/>
      <c r="G33" s="128">
        <f>E33-((B6-1)*100)</f>
        <v>-8.3330000000003679E-2</v>
      </c>
      <c r="H33" s="128">
        <f>F33+C6</f>
        <v>2.843</v>
      </c>
      <c r="I33" s="129">
        <f>1-(G33/100)</f>
        <v>1.0008333</v>
      </c>
      <c r="J33" s="11" t="e">
        <f>IF(K33=1,26*(#REF!+ABS(G33)),26*(#REF!-ABS(G33)))</f>
        <v>#REF!</v>
      </c>
      <c r="K33" s="11">
        <f t="shared" si="8"/>
        <v>1</v>
      </c>
      <c r="M33" s="69">
        <f t="shared" si="0"/>
        <v>2.843</v>
      </c>
      <c r="N33" s="12">
        <f t="shared" si="1"/>
        <v>1.0008333</v>
      </c>
      <c r="O33" s="69">
        <f t="shared" si="2"/>
        <v>0</v>
      </c>
      <c r="P33" s="12">
        <f t="shared" si="3"/>
        <v>0</v>
      </c>
      <c r="Q33" s="69">
        <f t="shared" si="9"/>
        <v>0</v>
      </c>
      <c r="R33" s="12">
        <f t="shared" si="10"/>
        <v>0</v>
      </c>
    </row>
    <row r="34" spans="1:21" s="10" customFormat="1" ht="13.9" customHeight="1" x14ac:dyDescent="0.25">
      <c r="A34" s="163">
        <v>45957</v>
      </c>
      <c r="B34" s="151" t="s">
        <v>185</v>
      </c>
      <c r="C34" s="135" t="str">
        <f>A7</f>
        <v>4:1/5%</v>
      </c>
      <c r="D34" s="135">
        <v>5</v>
      </c>
      <c r="E34" s="79"/>
      <c r="F34" s="57"/>
      <c r="G34" s="124">
        <f>E34-((B7-1)*100)</f>
        <v>-6.7330000000009882E-2</v>
      </c>
      <c r="H34" s="124">
        <f>F34+C7</f>
        <v>1.657</v>
      </c>
      <c r="I34" s="125">
        <f t="shared" ref="I34:I35" si="12">1-(G34/100)</f>
        <v>1.0006733000000001</v>
      </c>
      <c r="J34" s="11" t="e">
        <f>IF(K34=1,26*(#REF!+ABS(G34)),26*(#REF!-ABS(G34)))</f>
        <v>#REF!</v>
      </c>
      <c r="K34" s="11">
        <f t="shared" si="8"/>
        <v>1</v>
      </c>
      <c r="M34" s="69">
        <f t="shared" si="0"/>
        <v>0</v>
      </c>
      <c r="N34" s="12">
        <f t="shared" si="1"/>
        <v>0</v>
      </c>
      <c r="O34" s="69">
        <f t="shared" si="2"/>
        <v>1.657</v>
      </c>
      <c r="P34" s="12">
        <f t="shared" si="3"/>
        <v>1.0006733000000001</v>
      </c>
      <c r="Q34" s="69">
        <f t="shared" si="9"/>
        <v>0</v>
      </c>
      <c r="R34" s="12">
        <f t="shared" si="10"/>
        <v>0</v>
      </c>
    </row>
    <row r="35" spans="1:21" s="10" customFormat="1" ht="13.9" customHeight="1" x14ac:dyDescent="0.25">
      <c r="A35" s="163">
        <v>45957</v>
      </c>
      <c r="B35" s="151" t="s">
        <v>185</v>
      </c>
      <c r="C35" s="135" t="str">
        <f>A9</f>
        <v>4:1/20%</v>
      </c>
      <c r="D35" s="135">
        <v>5</v>
      </c>
      <c r="E35" s="79"/>
      <c r="F35" s="57"/>
      <c r="G35" s="124">
        <f>E35-((B9-1)*100)</f>
        <v>-4.9999999999994493E-2</v>
      </c>
      <c r="H35" s="124">
        <f>F35+C9</f>
        <v>0.81699999999999995</v>
      </c>
      <c r="I35" s="125">
        <f t="shared" si="12"/>
        <v>1.0004999999999999</v>
      </c>
      <c r="J35" s="11" t="e">
        <f>IF(K35=1,26*(#REF!+ABS(G35)),26*(#REF!-ABS(G35)))</f>
        <v>#REF!</v>
      </c>
      <c r="K35" s="11">
        <f t="shared" si="8"/>
        <v>1</v>
      </c>
      <c r="M35" s="69">
        <f t="shared" si="0"/>
        <v>0</v>
      </c>
      <c r="N35" s="12">
        <f t="shared" si="1"/>
        <v>0</v>
      </c>
      <c r="O35" s="69">
        <f t="shared" si="2"/>
        <v>0</v>
      </c>
      <c r="P35" s="12">
        <f t="shared" si="3"/>
        <v>0</v>
      </c>
      <c r="Q35" s="69">
        <f t="shared" si="9"/>
        <v>0.81699999999999995</v>
      </c>
      <c r="R35" s="12">
        <f t="shared" si="10"/>
        <v>1.0004999999999999</v>
      </c>
    </row>
    <row r="36" spans="1:21" s="10" customFormat="1" ht="13.9" customHeight="1" x14ac:dyDescent="0.25">
      <c r="A36" s="163">
        <v>45957</v>
      </c>
      <c r="B36" s="151" t="s">
        <v>185</v>
      </c>
      <c r="C36" s="135" t="str">
        <f>A12</f>
        <v>4:1/100%</v>
      </c>
      <c r="D36" s="135">
        <v>5</v>
      </c>
      <c r="E36" s="79"/>
      <c r="F36" s="57"/>
      <c r="G36" s="124">
        <f>E36-((B12-1)*100)</f>
        <v>-4.1000000000002146E-2</v>
      </c>
      <c r="H36" s="124">
        <f>F36+C12</f>
        <v>0.7</v>
      </c>
      <c r="I36" s="125">
        <f>1-(G36/100)</f>
        <v>1.00041</v>
      </c>
      <c r="J36" s="11" t="e">
        <f>IF(K36=1,26*(#REF!+ABS(G36)),26*(#REF!-ABS(G36)))</f>
        <v>#REF!</v>
      </c>
      <c r="K36" s="11">
        <f t="shared" si="8"/>
        <v>1</v>
      </c>
      <c r="M36" s="69">
        <f t="shared" si="0"/>
        <v>0</v>
      </c>
      <c r="N36" s="12">
        <f t="shared" si="1"/>
        <v>0</v>
      </c>
      <c r="O36" s="69">
        <f t="shared" si="2"/>
        <v>0</v>
      </c>
      <c r="P36" s="12">
        <f t="shared" si="3"/>
        <v>0</v>
      </c>
      <c r="Q36" s="69">
        <f t="shared" si="9"/>
        <v>0.7</v>
      </c>
      <c r="R36" s="12">
        <f t="shared" si="10"/>
        <v>1.00041</v>
      </c>
    </row>
    <row r="37" spans="1:21" s="10" customFormat="1" ht="13.9" customHeight="1" thickBot="1" x14ac:dyDescent="0.3">
      <c r="A37" s="165">
        <v>45957</v>
      </c>
      <c r="B37" s="166" t="s">
        <v>185</v>
      </c>
      <c r="C37" s="137" t="str">
        <f>A13</f>
        <v>4:1/120%</v>
      </c>
      <c r="D37" s="137">
        <v>5</v>
      </c>
      <c r="E37" s="119"/>
      <c r="F37" s="120"/>
      <c r="G37" s="126">
        <f>E37-((B13-1)*100)</f>
        <v>-4.0330000000010635E-2</v>
      </c>
      <c r="H37" s="126">
        <f>F37+C13</f>
        <v>0.69299999999999995</v>
      </c>
      <c r="I37" s="127">
        <f t="shared" ref="I37" si="13">1-(G37/100)</f>
        <v>1.0004033000000001</v>
      </c>
      <c r="J37" s="11" t="e">
        <f>IF(K37=1,26*(#REF!+ABS(G37)),26*(#REF!-ABS(G37)))</f>
        <v>#REF!</v>
      </c>
      <c r="K37" s="11">
        <f t="shared" si="8"/>
        <v>1</v>
      </c>
      <c r="M37" s="69">
        <f t="shared" si="0"/>
        <v>0</v>
      </c>
      <c r="N37" s="12">
        <f t="shared" si="1"/>
        <v>0</v>
      </c>
      <c r="O37" s="69">
        <f t="shared" si="2"/>
        <v>0</v>
      </c>
      <c r="P37" s="12">
        <f t="shared" si="3"/>
        <v>0</v>
      </c>
      <c r="Q37" s="140">
        <f>H37</f>
        <v>0.69299999999999995</v>
      </c>
      <c r="R37" s="141">
        <f>I37</f>
        <v>1.0004033000000001</v>
      </c>
    </row>
    <row r="38" spans="1:21" s="10" customFormat="1" ht="13.9" customHeight="1" thickTop="1" x14ac:dyDescent="0.25">
      <c r="A38" s="164">
        <v>45957</v>
      </c>
      <c r="B38" s="116" t="s">
        <v>186</v>
      </c>
      <c r="C38" s="138" t="str">
        <f>A6</f>
        <v>4:1/1%</v>
      </c>
      <c r="D38" s="138">
        <v>5</v>
      </c>
      <c r="E38" s="117"/>
      <c r="F38" s="118"/>
      <c r="G38" s="128">
        <f>E38-((B6-1)*100)</f>
        <v>-8.3330000000003679E-2</v>
      </c>
      <c r="H38" s="128">
        <f>F38+C6</f>
        <v>2.843</v>
      </c>
      <c r="I38" s="129">
        <f>1-(G38/100)</f>
        <v>1.0008333</v>
      </c>
      <c r="J38" s="11" t="e">
        <f>IF(K38=1,26*(#REF!+ABS(G38)),26*(#REF!-ABS(G38)))</f>
        <v>#REF!</v>
      </c>
      <c r="K38" s="11">
        <f>IF(G38&gt;0,IF(H38&gt;0,1,0),IF(H38&gt;0,1,0))</f>
        <v>1</v>
      </c>
      <c r="M38" s="69">
        <f t="shared" si="0"/>
        <v>2.843</v>
      </c>
      <c r="N38" s="12">
        <f t="shared" si="1"/>
        <v>1.0008333</v>
      </c>
      <c r="O38" s="69">
        <f t="shared" si="2"/>
        <v>0</v>
      </c>
      <c r="P38" s="12">
        <f t="shared" si="3"/>
        <v>0</v>
      </c>
      <c r="Q38" s="69">
        <f t="shared" si="9"/>
        <v>0</v>
      </c>
      <c r="R38" s="12">
        <f t="shared" si="10"/>
        <v>0</v>
      </c>
    </row>
    <row r="39" spans="1:21" s="10" customFormat="1" ht="13.9" customHeight="1" x14ac:dyDescent="0.25">
      <c r="A39" s="163">
        <v>45957</v>
      </c>
      <c r="B39" s="151" t="s">
        <v>186</v>
      </c>
      <c r="C39" s="135" t="str">
        <f>A7</f>
        <v>4:1/5%</v>
      </c>
      <c r="D39" s="135">
        <v>5</v>
      </c>
      <c r="E39" s="79"/>
      <c r="F39" s="57"/>
      <c r="G39" s="124">
        <f>E39-((B7-1)*100)</f>
        <v>-6.7330000000009882E-2</v>
      </c>
      <c r="H39" s="124">
        <f>F39+C7</f>
        <v>1.657</v>
      </c>
      <c r="I39" s="125">
        <f t="shared" ref="I39:I40" si="14">1-(G39/100)</f>
        <v>1.0006733000000001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69">
        <f t="shared" si="0"/>
        <v>0</v>
      </c>
      <c r="N39" s="12">
        <f t="shared" si="1"/>
        <v>0</v>
      </c>
      <c r="O39" s="69">
        <f t="shared" si="2"/>
        <v>1.657</v>
      </c>
      <c r="P39" s="12">
        <f t="shared" si="3"/>
        <v>1.0006733000000001</v>
      </c>
      <c r="Q39" s="69">
        <f t="shared" si="9"/>
        <v>0</v>
      </c>
      <c r="R39" s="12">
        <f t="shared" si="10"/>
        <v>0</v>
      </c>
    </row>
    <row r="40" spans="1:21" s="10" customFormat="1" ht="13.9" customHeight="1" x14ac:dyDescent="0.25">
      <c r="A40" s="163">
        <v>45957</v>
      </c>
      <c r="B40" s="151" t="s">
        <v>186</v>
      </c>
      <c r="C40" s="135" t="str">
        <f>A9</f>
        <v>4:1/20%</v>
      </c>
      <c r="D40" s="135">
        <v>5</v>
      </c>
      <c r="E40" s="79"/>
      <c r="F40" s="57"/>
      <c r="G40" s="124">
        <f>E40-((B9-1)*100)</f>
        <v>-4.9999999999994493E-2</v>
      </c>
      <c r="H40" s="124">
        <f>F40+C9</f>
        <v>0.81699999999999995</v>
      </c>
      <c r="I40" s="125">
        <f t="shared" si="14"/>
        <v>1.0004999999999999</v>
      </c>
      <c r="J40" s="11" t="e">
        <f>IF(K40=1,26*(#REF!+ABS(G40)),26*(#REF!-ABS(G40)))</f>
        <v>#REF!</v>
      </c>
      <c r="K40" s="11">
        <f t="shared" si="15"/>
        <v>1</v>
      </c>
      <c r="M40" s="69">
        <f t="shared" si="0"/>
        <v>0</v>
      </c>
      <c r="N40" s="12">
        <f t="shared" si="1"/>
        <v>0</v>
      </c>
      <c r="O40" s="69">
        <f t="shared" si="2"/>
        <v>0</v>
      </c>
      <c r="P40" s="12">
        <f t="shared" si="3"/>
        <v>0</v>
      </c>
      <c r="Q40" s="69">
        <f t="shared" si="9"/>
        <v>0.81699999999999995</v>
      </c>
      <c r="R40" s="12">
        <f t="shared" si="10"/>
        <v>1.0004999999999999</v>
      </c>
    </row>
    <row r="41" spans="1:21" s="10" customFormat="1" ht="13.9" customHeight="1" x14ac:dyDescent="0.25">
      <c r="A41" s="163">
        <v>45957</v>
      </c>
      <c r="B41" s="151" t="s">
        <v>186</v>
      </c>
      <c r="C41" s="135" t="str">
        <f>A12</f>
        <v>4:1/100%</v>
      </c>
      <c r="D41" s="135">
        <v>5</v>
      </c>
      <c r="E41" s="79"/>
      <c r="F41" s="57"/>
      <c r="G41" s="124">
        <f>E41-((B12-1)*100)</f>
        <v>-4.1000000000002146E-2</v>
      </c>
      <c r="H41" s="124">
        <f>F41+C12</f>
        <v>0.7</v>
      </c>
      <c r="I41" s="125">
        <f>1-(G41/100)</f>
        <v>1.00041</v>
      </c>
      <c r="J41" s="11" t="e">
        <f>IF(K41=1,26*(#REF!+ABS(G41)),26*(#REF!-ABS(G41)))</f>
        <v>#REF!</v>
      </c>
      <c r="K41" s="11">
        <f t="shared" si="15"/>
        <v>1</v>
      </c>
      <c r="M41" s="69">
        <f t="shared" si="0"/>
        <v>0</v>
      </c>
      <c r="N41" s="12">
        <f t="shared" si="1"/>
        <v>0</v>
      </c>
      <c r="O41" s="69">
        <f t="shared" si="2"/>
        <v>0</v>
      </c>
      <c r="P41" s="12">
        <f t="shared" si="3"/>
        <v>0</v>
      </c>
      <c r="Q41" s="69">
        <f t="shared" si="9"/>
        <v>0.7</v>
      </c>
      <c r="R41" s="12">
        <f t="shared" si="10"/>
        <v>1.00041</v>
      </c>
    </row>
    <row r="42" spans="1:21" s="10" customFormat="1" ht="13.9" customHeight="1" thickBot="1" x14ac:dyDescent="0.3">
      <c r="A42" s="167">
        <v>45957</v>
      </c>
      <c r="B42" s="168" t="s">
        <v>186</v>
      </c>
      <c r="C42" s="139" t="str">
        <f>A13</f>
        <v>4:1/120%</v>
      </c>
      <c r="D42" s="139">
        <v>5</v>
      </c>
      <c r="E42" s="80"/>
      <c r="F42" s="78"/>
      <c r="G42" s="130">
        <f>E42-((B13-1)*100)</f>
        <v>-4.0330000000010635E-2</v>
      </c>
      <c r="H42" s="130">
        <f>F42+C13</f>
        <v>0.69299999999999995</v>
      </c>
      <c r="I42" s="131">
        <f t="shared" ref="I42" si="16">1-(G42/100)</f>
        <v>1.0004033000000001</v>
      </c>
      <c r="J42" s="11" t="e">
        <f>IF(K42=1,26*(#REF!+ABS(G42)),26*(#REF!-ABS(G42)))</f>
        <v>#REF!</v>
      </c>
      <c r="K42" s="11">
        <f t="shared" si="15"/>
        <v>1</v>
      </c>
      <c r="M42" s="69">
        <f t="shared" si="0"/>
        <v>0</v>
      </c>
      <c r="N42" s="12">
        <f t="shared" si="1"/>
        <v>0</v>
      </c>
      <c r="O42" s="69">
        <f t="shared" si="2"/>
        <v>0</v>
      </c>
      <c r="P42" s="12">
        <f t="shared" si="3"/>
        <v>0</v>
      </c>
      <c r="Q42" s="140">
        <f>H42</f>
        <v>0.69299999999999995</v>
      </c>
      <c r="R42" s="141">
        <f>I42</f>
        <v>1.0004033000000001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25:I25"/>
    <mergeCell ref="A26:A27"/>
    <mergeCell ref="B26:B27"/>
    <mergeCell ref="E26:F26"/>
    <mergeCell ref="G26:H26"/>
    <mergeCell ref="I26:I27"/>
    <mergeCell ref="M12:M13"/>
    <mergeCell ref="N12:N13"/>
    <mergeCell ref="O12:O13"/>
    <mergeCell ref="N6:N7"/>
    <mergeCell ref="A18:C18"/>
    <mergeCell ref="A1:I1"/>
    <mergeCell ref="A4:C4"/>
    <mergeCell ref="M6:M7"/>
    <mergeCell ref="O6:O7"/>
    <mergeCell ref="M9:M10"/>
    <mergeCell ref="N9:N10"/>
    <mergeCell ref="O9:O10"/>
  </mergeCells>
  <conditionalFormatting sqref="G28:H42">
    <cfRule type="cellIs" dxfId="0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>&amp;L&amp;"Arial,Normal"Local Ensaios: Serta Transformadores - Rua José Calixto, 200 - Santa Luzia - MG
qualidade@sertatransformadores.com.br  (31) 2102-4804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1F62-DF84-4ACC-B001-240B4A8C752E}">
  <dimension ref="A1:U54"/>
  <sheetViews>
    <sheetView showGridLines="0" view="pageBreakPreview" zoomScaleNormal="115" zoomScaleSheetLayoutView="100" workbookViewId="0">
      <selection activeCell="A47" sqref="A47:XFD47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">
      <c r="A1" s="48" t="s">
        <v>23</v>
      </c>
      <c r="B1" s="48"/>
      <c r="C1" s="48"/>
      <c r="D1" s="48"/>
      <c r="E1" s="48"/>
      <c r="F1" s="48"/>
      <c r="G1" s="48"/>
      <c r="H1" s="48"/>
      <c r="I1" s="48"/>
      <c r="M1" s="69">
        <f>IFERROR(VLOOKUP(#REF!,#REF!,6,0),0)</f>
        <v>0</v>
      </c>
      <c r="N1" s="12">
        <f>IFERROR(VLOOKUP(#REF!,#REF!,7,0),0)</f>
        <v>0</v>
      </c>
      <c r="O1" s="69">
        <f>IFERROR(VLOOKUP(#REF!,#REF!,6,0),0)</f>
        <v>0</v>
      </c>
      <c r="P1" s="12">
        <f>IFERROR(VLOOKUP(#REF!,#REF!,7,0),0)</f>
        <v>0</v>
      </c>
      <c r="Q1" s="69">
        <f>IFERROR(VLOOKUP(#REF!,C1:I1,6,0),IFERROR(VLOOKUP(#REF!,C1:I1,6,0),IFERROR(VLOOKUP(#REF!,C1:I1,6,0),0)))</f>
        <v>0</v>
      </c>
      <c r="R1" s="12">
        <f>IFERROR(VLOOKUP(#REF!,C1:I1,7,0),IFERROR(VLOOKUP(#REF!,C1:I1,7,0),IFERROR(VLOOKUP(#REF!,C1:I1,7,0),0)))</f>
        <v>0</v>
      </c>
      <c r="S1" s="14"/>
      <c r="T1" s="14"/>
      <c r="U1" s="14"/>
    </row>
    <row r="2" spans="1:21" s="14" customFormat="1" ht="18" x14ac:dyDescent="0.2">
      <c r="A2" s="19" t="s">
        <v>47</v>
      </c>
      <c r="B2" s="20"/>
      <c r="C2" s="21"/>
      <c r="D2" s="22"/>
      <c r="E2" s="21"/>
      <c r="F2" s="21"/>
      <c r="G2" s="21"/>
      <c r="H2" s="21"/>
      <c r="I2" s="21"/>
    </row>
    <row r="3" spans="1:21" s="14" customFormat="1" ht="18" x14ac:dyDescent="0.2">
      <c r="A3" s="24"/>
      <c r="B3" s="23"/>
      <c r="C3" s="20"/>
      <c r="D3" s="20"/>
    </row>
    <row r="4" spans="1:21" s="14" customFormat="1" ht="18" x14ac:dyDescent="0.2">
      <c r="A4" s="25"/>
      <c r="B4" s="26"/>
      <c r="C4" s="20"/>
      <c r="D4" s="20"/>
    </row>
    <row r="5" spans="1:21" s="14" customFormat="1" ht="18" x14ac:dyDescent="0.2">
      <c r="A5" s="27"/>
      <c r="B5" s="26"/>
      <c r="C5" s="20"/>
      <c r="D5" s="20"/>
    </row>
    <row r="6" spans="1:21" s="14" customFormat="1" ht="18" x14ac:dyDescent="0.2">
      <c r="A6" s="29"/>
      <c r="B6" s="147"/>
      <c r="C6" s="8"/>
      <c r="D6" s="20"/>
    </row>
    <row r="7" spans="1:21" s="14" customFormat="1" ht="15.75" x14ac:dyDescent="0.2">
      <c r="A7" s="30" t="s">
        <v>105</v>
      </c>
      <c r="B7" s="30"/>
      <c r="C7" s="30"/>
      <c r="D7" s="30"/>
    </row>
    <row r="8" spans="1:21" s="14" customFormat="1" ht="18" x14ac:dyDescent="0.2">
      <c r="B8" s="31"/>
      <c r="C8" s="31"/>
      <c r="D8" s="20"/>
      <c r="E8" s="20"/>
      <c r="F8" s="20"/>
      <c r="G8" s="20"/>
      <c r="H8" s="20"/>
      <c r="I8" s="20"/>
    </row>
    <row r="9" spans="1:21" s="14" customFormat="1" ht="18" x14ac:dyDescent="0.2">
      <c r="A9" s="19" t="s">
        <v>26</v>
      </c>
      <c r="B9" s="31"/>
      <c r="C9" s="31"/>
      <c r="D9" s="20"/>
      <c r="E9" s="20"/>
      <c r="F9" s="20"/>
      <c r="G9" s="20"/>
      <c r="H9" s="20"/>
      <c r="I9" s="20"/>
    </row>
    <row r="10" spans="1:21" s="14" customFormat="1" ht="18" x14ac:dyDescent="0.2">
      <c r="A10" s="24"/>
      <c r="B10" s="23"/>
      <c r="C10" s="20"/>
      <c r="D10" s="20"/>
      <c r="F10" s="20"/>
      <c r="G10" s="20"/>
      <c r="H10" s="20"/>
      <c r="I10" s="20"/>
    </row>
    <row r="11" spans="1:21" s="14" customFormat="1" ht="18" x14ac:dyDescent="0.2">
      <c r="A11" s="25"/>
      <c r="B11" s="26"/>
      <c r="C11" s="20"/>
      <c r="D11" s="20"/>
      <c r="F11" s="20"/>
      <c r="G11" s="20"/>
      <c r="H11" s="20"/>
      <c r="I11" s="20"/>
    </row>
    <row r="12" spans="1:21" s="14" customFormat="1" ht="18" x14ac:dyDescent="0.2">
      <c r="A12" s="25"/>
      <c r="B12" s="26"/>
      <c r="C12" s="20"/>
      <c r="D12" s="20"/>
      <c r="F12" s="20"/>
      <c r="G12" s="20"/>
      <c r="H12" s="20"/>
      <c r="I12" s="20"/>
    </row>
    <row r="13" spans="1:21" s="14" customFormat="1" ht="18" x14ac:dyDescent="0.2">
      <c r="A13" s="25"/>
      <c r="B13" s="26"/>
      <c r="C13" s="20"/>
      <c r="D13" s="20"/>
      <c r="F13" s="8"/>
      <c r="G13" s="8"/>
      <c r="H13" s="8"/>
      <c r="I13" s="8"/>
    </row>
    <row r="14" spans="1:21" s="14" customFormat="1" ht="18" x14ac:dyDescent="0.2">
      <c r="A14" s="29"/>
      <c r="B14" s="28"/>
      <c r="C14" s="20"/>
      <c r="D14" s="20"/>
      <c r="F14" s="8"/>
      <c r="G14" s="8"/>
      <c r="H14" s="8"/>
      <c r="I14" s="8"/>
    </row>
    <row r="15" spans="1:21" s="14" customFormat="1" ht="20.25" x14ac:dyDescent="0.2">
      <c r="A15" s="30" t="s">
        <v>48</v>
      </c>
      <c r="B15" s="32"/>
      <c r="C15" s="32"/>
      <c r="D15" s="33"/>
      <c r="F15" s="33"/>
      <c r="G15" s="33"/>
      <c r="H15" s="33"/>
      <c r="I15" s="33"/>
    </row>
    <row r="16" spans="1:21" s="14" customFormat="1" ht="20.25" x14ac:dyDescent="0.2">
      <c r="A16" s="30"/>
      <c r="B16" s="32"/>
      <c r="C16" s="32"/>
      <c r="D16" s="33"/>
      <c r="F16" s="33"/>
      <c r="G16" s="33"/>
      <c r="H16" s="33"/>
      <c r="I16" s="33"/>
    </row>
    <row r="17" spans="1:9" s="14" customFormat="1" ht="20.25" x14ac:dyDescent="0.2">
      <c r="A17" s="30"/>
      <c r="B17" s="32"/>
      <c r="C17" s="32"/>
      <c r="D17" s="33"/>
      <c r="F17" s="33"/>
      <c r="G17" s="33"/>
      <c r="H17" s="33"/>
      <c r="I17" s="33"/>
    </row>
    <row r="18" spans="1:9" s="14" customFormat="1" ht="20.25" x14ac:dyDescent="0.2">
      <c r="A18" s="30"/>
      <c r="B18" s="32"/>
      <c r="C18" s="32"/>
      <c r="D18" s="33"/>
      <c r="F18" s="33"/>
      <c r="G18" s="33"/>
      <c r="H18" s="33"/>
      <c r="I18" s="33"/>
    </row>
    <row r="19" spans="1:9" s="14" customFormat="1" ht="20.25" x14ac:dyDescent="0.2">
      <c r="A19" s="30"/>
      <c r="B19" s="32"/>
      <c r="C19" s="32"/>
      <c r="D19" s="33"/>
      <c r="F19" s="33"/>
      <c r="G19" s="33"/>
      <c r="H19" s="33"/>
      <c r="I19" s="33"/>
    </row>
    <row r="20" spans="1:9" s="14" customFormat="1" ht="20.25" x14ac:dyDescent="0.2">
      <c r="A20" s="30"/>
      <c r="B20" s="32"/>
      <c r="C20" s="32"/>
      <c r="D20" s="33"/>
      <c r="F20" s="33"/>
      <c r="G20" s="33"/>
      <c r="H20" s="33"/>
      <c r="I20" s="33"/>
    </row>
    <row r="21" spans="1:9" s="14" customFormat="1" ht="20.25" x14ac:dyDescent="0.2">
      <c r="A21" s="30"/>
      <c r="B21" s="32"/>
      <c r="C21" s="32"/>
      <c r="D21" s="33"/>
      <c r="F21" s="33"/>
      <c r="G21" s="33"/>
      <c r="H21" s="33"/>
      <c r="I21" s="33"/>
    </row>
    <row r="22" spans="1:9" s="14" customFormat="1" ht="20.25" x14ac:dyDescent="0.2">
      <c r="A22" s="30"/>
      <c r="B22" s="32"/>
      <c r="C22" s="32"/>
      <c r="D22" s="33"/>
      <c r="F22" s="33"/>
      <c r="G22" s="33"/>
      <c r="H22" s="33"/>
      <c r="I22" s="33"/>
    </row>
    <row r="23" spans="1:9" s="14" customFormat="1" ht="20.25" x14ac:dyDescent="0.2">
      <c r="A23" s="30"/>
      <c r="B23" s="32"/>
      <c r="C23" s="32"/>
      <c r="D23" s="33"/>
      <c r="F23" s="33"/>
      <c r="G23" s="33"/>
      <c r="H23" s="33"/>
      <c r="I23" s="33"/>
    </row>
    <row r="24" spans="1:9" s="14" customFormat="1" ht="20.25" x14ac:dyDescent="0.2">
      <c r="A24" s="30"/>
      <c r="B24" s="32"/>
      <c r="C24" s="32"/>
      <c r="D24" s="33"/>
      <c r="F24" s="33"/>
      <c r="G24" s="33"/>
      <c r="H24" s="33"/>
      <c r="I24" s="33"/>
    </row>
    <row r="25" spans="1:9" s="14" customFormat="1" ht="20.25" x14ac:dyDescent="0.2">
      <c r="A25" s="30"/>
      <c r="B25" s="32"/>
      <c r="C25" s="32"/>
      <c r="D25" s="33"/>
      <c r="F25" s="33"/>
      <c r="G25" s="33"/>
      <c r="H25" s="33"/>
      <c r="I25" s="33"/>
    </row>
    <row r="26" spans="1:9" s="14" customFormat="1" ht="20.25" x14ac:dyDescent="0.2">
      <c r="A26" s="30"/>
      <c r="B26" s="32"/>
      <c r="C26" s="32"/>
      <c r="D26" s="33"/>
      <c r="F26" s="33"/>
      <c r="G26" s="33"/>
      <c r="H26" s="33"/>
      <c r="I26" s="33"/>
    </row>
    <row r="27" spans="1:9" s="14" customFormat="1" ht="20.25" x14ac:dyDescent="0.2">
      <c r="A27" s="30"/>
      <c r="B27" s="32"/>
      <c r="C27" s="32"/>
      <c r="D27" s="33"/>
      <c r="F27" s="33"/>
      <c r="G27" s="33"/>
      <c r="H27" s="33"/>
      <c r="I27" s="33"/>
    </row>
    <row r="28" spans="1:9" s="14" customFormat="1" ht="20.25" x14ac:dyDescent="0.2">
      <c r="A28" s="30"/>
      <c r="B28" s="32"/>
      <c r="C28" s="32"/>
      <c r="D28" s="33"/>
      <c r="F28" s="33"/>
      <c r="G28" s="33"/>
      <c r="H28" s="33"/>
      <c r="I28" s="33"/>
    </row>
    <row r="29" spans="1:9" s="14" customFormat="1" ht="20.25" x14ac:dyDescent="0.2">
      <c r="A29" s="30"/>
      <c r="B29" s="32"/>
      <c r="C29" s="32"/>
      <c r="D29" s="33"/>
      <c r="F29" s="33"/>
      <c r="G29" s="33"/>
      <c r="H29" s="33"/>
      <c r="I29" s="33"/>
    </row>
    <row r="30" spans="1:9" s="14" customFormat="1" ht="20.25" x14ac:dyDescent="0.2">
      <c r="A30" s="30"/>
      <c r="B30" s="32"/>
      <c r="C30" s="32"/>
      <c r="D30" s="33"/>
      <c r="F30" s="33"/>
      <c r="G30" s="33"/>
      <c r="H30" s="33"/>
      <c r="I30" s="33"/>
    </row>
    <row r="31" spans="1:9" s="14" customFormat="1" ht="20.25" x14ac:dyDescent="0.2">
      <c r="A31" s="30"/>
      <c r="B31" s="32"/>
      <c r="C31" s="32"/>
      <c r="D31" s="33"/>
      <c r="F31" s="33"/>
      <c r="G31" s="33"/>
      <c r="H31" s="33"/>
      <c r="I31" s="33"/>
    </row>
    <row r="32" spans="1:9" s="14" customFormat="1" ht="20.25" x14ac:dyDescent="0.2">
      <c r="A32" s="30"/>
      <c r="B32" s="32"/>
      <c r="C32" s="32"/>
      <c r="D32" s="33"/>
      <c r="F32" s="33"/>
      <c r="G32" s="33"/>
      <c r="H32" s="33"/>
      <c r="I32" s="33"/>
    </row>
    <row r="33" spans="1:9" s="14" customFormat="1" ht="20.25" x14ac:dyDescent="0.2">
      <c r="A33" s="30"/>
      <c r="B33" s="32"/>
      <c r="C33" s="32"/>
      <c r="D33" s="33"/>
      <c r="F33" s="33"/>
      <c r="G33" s="33"/>
      <c r="H33" s="33"/>
      <c r="I33" s="33"/>
    </row>
    <row r="34" spans="1:9" s="14" customFormat="1" ht="20.25" x14ac:dyDescent="0.2">
      <c r="A34" s="30"/>
      <c r="B34" s="32"/>
      <c r="C34" s="32"/>
      <c r="D34" s="33"/>
      <c r="F34" s="33"/>
      <c r="G34" s="33"/>
      <c r="H34" s="33"/>
      <c r="I34" s="33"/>
    </row>
    <row r="35" spans="1:9" s="14" customFormat="1" ht="20.25" x14ac:dyDescent="0.2">
      <c r="A35" s="30"/>
      <c r="B35" s="32"/>
      <c r="C35" s="32"/>
      <c r="D35" s="33"/>
      <c r="F35" s="33"/>
      <c r="G35" s="33"/>
      <c r="H35" s="33"/>
      <c r="I35" s="33"/>
    </row>
    <row r="36" spans="1:9" s="14" customFormat="1" ht="20.25" x14ac:dyDescent="0.2">
      <c r="A36" s="30"/>
      <c r="B36" s="32"/>
      <c r="C36" s="32"/>
      <c r="D36" s="33"/>
      <c r="F36" s="33"/>
      <c r="G36" s="33"/>
      <c r="H36" s="33"/>
      <c r="I36" s="33"/>
    </row>
    <row r="37" spans="1:9" s="14" customFormat="1" ht="20.25" x14ac:dyDescent="0.2">
      <c r="A37" s="30"/>
      <c r="B37" s="32"/>
      <c r="C37" s="32"/>
      <c r="D37" s="33"/>
      <c r="F37" s="33"/>
      <c r="G37" s="33"/>
      <c r="H37" s="33"/>
      <c r="I37" s="33"/>
    </row>
    <row r="38" spans="1:9" s="14" customFormat="1" ht="20.25" x14ac:dyDescent="0.2">
      <c r="A38" s="30"/>
      <c r="B38" s="32"/>
      <c r="C38" s="32"/>
      <c r="D38" s="33"/>
      <c r="F38" s="33"/>
      <c r="G38" s="33"/>
      <c r="H38" s="33"/>
      <c r="I38" s="33"/>
    </row>
    <row r="39" spans="1:9" s="14" customFormat="1" ht="20.25" x14ac:dyDescent="0.2">
      <c r="A39" s="30"/>
      <c r="B39" s="32"/>
      <c r="C39" s="32"/>
      <c r="D39" s="33"/>
      <c r="F39" s="33"/>
      <c r="G39" s="33"/>
      <c r="H39" s="33"/>
      <c r="I39" s="33"/>
    </row>
    <row r="40" spans="1:9" s="14" customFormat="1" ht="20.25" x14ac:dyDescent="0.2">
      <c r="A40" s="30"/>
      <c r="B40" s="32"/>
      <c r="C40" s="32"/>
      <c r="D40" s="33"/>
      <c r="F40" s="33"/>
      <c r="G40" s="33"/>
      <c r="H40" s="33"/>
      <c r="I40" s="33"/>
    </row>
    <row r="41" spans="1:9" s="14" customFormat="1" ht="20.25" x14ac:dyDescent="0.2">
      <c r="A41" s="30"/>
      <c r="B41" s="32"/>
      <c r="C41" s="32"/>
      <c r="D41" s="33"/>
      <c r="F41" s="33"/>
      <c r="G41" s="33"/>
      <c r="H41" s="33"/>
      <c r="I41" s="33"/>
    </row>
    <row r="42" spans="1:9" s="14" customFormat="1" ht="20.25" x14ac:dyDescent="0.2">
      <c r="A42" s="30"/>
      <c r="B42" s="32"/>
      <c r="C42" s="32"/>
      <c r="D42" s="33"/>
      <c r="F42" s="33"/>
      <c r="G42" s="33"/>
      <c r="H42" s="33"/>
      <c r="I42" s="33"/>
    </row>
    <row r="43" spans="1:9" s="14" customFormat="1" ht="20.25" x14ac:dyDescent="0.2">
      <c r="A43" s="30"/>
      <c r="B43" s="32"/>
      <c r="C43" s="32"/>
      <c r="D43" s="33"/>
      <c r="F43" s="33"/>
      <c r="G43" s="33"/>
      <c r="H43" s="33"/>
      <c r="I43" s="33"/>
    </row>
    <row r="44" spans="1:9" s="14" customFormat="1" ht="20.25" x14ac:dyDescent="0.2">
      <c r="A44" s="30"/>
      <c r="B44" s="32"/>
      <c r="C44" s="32"/>
      <c r="D44" s="33"/>
      <c r="F44" s="33"/>
      <c r="G44" s="33"/>
      <c r="H44" s="33"/>
      <c r="I44" s="33"/>
    </row>
    <row r="45" spans="1:9" s="14" customFormat="1" ht="20.25" x14ac:dyDescent="0.2">
      <c r="A45" s="30"/>
      <c r="B45" s="32"/>
      <c r="C45" s="32"/>
      <c r="D45" s="33"/>
      <c r="F45" s="33"/>
      <c r="G45" s="33"/>
      <c r="H45" s="33"/>
      <c r="I45" s="33"/>
    </row>
    <row r="46" spans="1:9" s="14" customFormat="1" ht="20.25" x14ac:dyDescent="0.2">
      <c r="A46" s="30"/>
      <c r="B46" s="32"/>
      <c r="C46" s="32"/>
      <c r="D46" s="33"/>
      <c r="F46" s="33"/>
      <c r="G46" s="33"/>
      <c r="H46" s="33"/>
      <c r="I46" s="33"/>
    </row>
    <row r="47" spans="1:9" s="14" customFormat="1" ht="20.25" x14ac:dyDescent="0.2">
      <c r="A47" s="30"/>
      <c r="B47" s="32"/>
      <c r="C47" s="32"/>
      <c r="D47" s="33"/>
      <c r="F47" s="33"/>
      <c r="G47" s="33"/>
      <c r="H47" s="33"/>
      <c r="I47" s="33"/>
    </row>
    <row r="48" spans="1:9" s="14" customFormat="1" ht="20.25" x14ac:dyDescent="0.2">
      <c r="A48" s="30"/>
      <c r="B48" s="32"/>
      <c r="C48" s="32"/>
      <c r="D48" s="33"/>
      <c r="F48" s="33"/>
      <c r="G48" s="33"/>
      <c r="H48" s="33"/>
      <c r="I48" s="33"/>
    </row>
    <row r="49" spans="1:21" s="14" customFormat="1" ht="20.25" x14ac:dyDescent="0.2">
      <c r="A49" s="30"/>
      <c r="B49" s="32"/>
      <c r="C49" s="32"/>
      <c r="D49" s="33"/>
      <c r="F49" s="33"/>
      <c r="G49" s="33"/>
      <c r="H49" s="33"/>
      <c r="I49" s="33"/>
    </row>
    <row r="50" spans="1:21" s="14" customFormat="1" ht="20.25" x14ac:dyDescent="0.2">
      <c r="A50" s="30"/>
      <c r="B50" s="32"/>
      <c r="C50" s="32"/>
      <c r="D50" s="33"/>
      <c r="F50" s="33"/>
      <c r="G50" s="33"/>
      <c r="H50" s="33"/>
      <c r="I50" s="33"/>
    </row>
    <row r="51" spans="1:21" s="14" customFormat="1" ht="20.25" x14ac:dyDescent="0.2">
      <c r="A51" s="30"/>
      <c r="B51" s="32"/>
      <c r="C51" s="32"/>
      <c r="D51" s="33"/>
      <c r="F51" s="33"/>
      <c r="G51" s="33"/>
      <c r="H51" s="33"/>
      <c r="I51" s="33"/>
    </row>
    <row r="52" spans="1:21" s="14" customFormat="1" ht="18" x14ac:dyDescent="0.2">
      <c r="A52" s="8"/>
      <c r="B52" s="8"/>
      <c r="C52" s="8"/>
      <c r="D52" s="8"/>
      <c r="E52" s="8"/>
      <c r="F52" s="8"/>
      <c r="G52" s="8"/>
      <c r="H52" s="8"/>
      <c r="I52" s="8"/>
      <c r="M52" s="9"/>
      <c r="N52" s="9"/>
      <c r="O52" s="9"/>
      <c r="P52" s="9"/>
      <c r="Q52" s="9"/>
      <c r="R52" s="9"/>
      <c r="S52" s="9"/>
      <c r="T52" s="9"/>
      <c r="U52" s="9"/>
    </row>
    <row r="53" spans="1:21" s="14" customFormat="1" ht="42.6" customHeight="1" x14ac:dyDescent="0.2">
      <c r="A53" s="214" t="s">
        <v>111</v>
      </c>
      <c r="B53" s="214"/>
      <c r="C53" s="214"/>
      <c r="D53" s="214"/>
      <c r="E53" s="214"/>
      <c r="F53" s="214"/>
      <c r="G53" s="214"/>
      <c r="H53" s="214"/>
      <c r="I53" s="214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5">
      <c r="M54" s="10"/>
      <c r="N54" s="10"/>
      <c r="O54" s="10"/>
      <c r="P54" s="10"/>
      <c r="Q54" s="10"/>
      <c r="R54" s="10"/>
      <c r="S54" s="10"/>
      <c r="T54" s="10"/>
      <c r="U54" s="10"/>
    </row>
  </sheetData>
  <mergeCells count="1">
    <mergeCell ref="A53:I53"/>
  </mergeCells>
  <printOptions horizontalCentered="1"/>
  <pageMargins left="0.31496062992125984" right="0.31496062992125984" top="0.86614173228346458" bottom="0.86614173228346458" header="0.19685039370078741" footer="0.39370078740157483"/>
  <pageSetup paperSize="9" scale="69" orientation="portrait" horizontalDpi="4294967294" verticalDpi="300" r:id="rId1"/>
  <headerFooter>
    <oddFooter>&amp;L&amp;"Arial,Normal"Local Ensaios: Serta Transformadores - Rua José Calixto, 200 - Santa Luzia - MG
qualidade@sertatransformadores.com.br  (31) 2102-4804&amp;C&amp;8&amp;G
&amp;R&amp;"Arial,Normal"
&amp;12Página: 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23</vt:i4>
      </vt:variant>
    </vt:vector>
  </HeadingPairs>
  <TitlesOfParts>
    <vt:vector size="46" baseType="lpstr">
      <vt:lpstr>Dados</vt:lpstr>
      <vt:lpstr>1</vt:lpstr>
      <vt:lpstr>Consulta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Ass.</vt:lpstr>
      <vt:lpstr>'1'!Area_de_impressao</vt:lpstr>
      <vt:lpstr>'10'!Area_de_impressao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'2'!Area_de_impressao</vt:lpstr>
      <vt:lpstr>'20'!Area_de_impressao</vt:lpstr>
      <vt:lpstr>'3'!Area_de_impressao</vt:lpstr>
      <vt:lpstr>'4'!Area_de_impressao</vt:lpstr>
      <vt:lpstr>'5'!Area_de_impressao</vt:lpstr>
      <vt:lpstr>'6'!Area_de_impressao</vt:lpstr>
      <vt:lpstr>'7'!Area_de_impressao</vt:lpstr>
      <vt:lpstr>'8'!Area_de_impressao</vt:lpstr>
      <vt:lpstr>'9'!Area_de_impressao</vt:lpstr>
      <vt:lpstr>Ass.!Area_de_impressao</vt:lpstr>
      <vt:lpstr>Dados!Area_de_impressao</vt:lpstr>
      <vt:lpstr>Dados!Titulos_de_impressao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Joly</dc:creator>
  <cp:lastModifiedBy>fabrica21</cp:lastModifiedBy>
  <cp:lastPrinted>2025-10-28T14:01:47Z</cp:lastPrinted>
  <dcterms:created xsi:type="dcterms:W3CDTF">2015-10-16T13:20:10Z</dcterms:created>
  <dcterms:modified xsi:type="dcterms:W3CDTF">2025-11-06T11:22:56Z</dcterms:modified>
</cp:coreProperties>
</file>