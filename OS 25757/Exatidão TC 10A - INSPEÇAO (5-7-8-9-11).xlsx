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C290A75E-0709-4BBD-A4C1-E381CD7D74A4}" xr6:coauthVersionLast="47" xr6:coauthVersionMax="47" xr10:uidLastSave="{00000000-0000-0000-0000-000000000000}"/>
  <bookViews>
    <workbookView xWindow="-120" yWindow="-120" windowWidth="20730" windowHeight="11160" tabRatio="742" activeTab="2" xr2:uid="{00000000-000D-0000-FFFF-FFFF00000000}"/>
  </bookViews>
  <sheets>
    <sheet name="Dados" sheetId="30" r:id="rId1"/>
    <sheet name="Consulta" sheetId="3" state="hidden" r:id="rId2"/>
    <sheet name="5" sheetId="14" r:id="rId3"/>
    <sheet name="7" sheetId="16" r:id="rId4"/>
    <sheet name="8" sheetId="18" r:id="rId5"/>
    <sheet name="9" sheetId="17" r:id="rId6"/>
    <sheet name="11" sheetId="20" r:id="rId7"/>
    <sheet name="Assis." sheetId="31" r:id="rId8"/>
  </sheets>
  <definedNames>
    <definedName name="_xlnm.Print_Area" localSheetId="6">'11'!$A$1:$I$42</definedName>
    <definedName name="_xlnm.Print_Area" localSheetId="2">'5'!$A$1:$I$42</definedName>
    <definedName name="_xlnm.Print_Area" localSheetId="3">'7'!$A$1:$I$42</definedName>
    <definedName name="_xlnm.Print_Area" localSheetId="4">'8'!$A$1:$I$42</definedName>
    <definedName name="_xlnm.Print_Area" localSheetId="5">'9'!$A$1:$I$42</definedName>
    <definedName name="_xlnm.Print_Area" localSheetId="7">Assis.!$A$1:$I$53</definedName>
    <definedName name="_xlnm.Print_Area" localSheetId="0">Dados!$A$1:$I$46</definedName>
    <definedName name="_xlnm.Print_Titles" localSheetId="6">'11'!#REF!</definedName>
    <definedName name="_xlnm.Print_Titles" localSheetId="2">'5'!#REF!</definedName>
    <definedName name="_xlnm.Print_Titles" localSheetId="3">'7'!#REF!</definedName>
    <definedName name="_xlnm.Print_Titles" localSheetId="4">'8'!#REF!</definedName>
    <definedName name="_xlnm.Print_Titles" localSheetId="5">'9'!#REF!</definedName>
    <definedName name="_xlnm.Print_Titles" localSheetId="7">Assis.!#REF!</definedName>
    <definedName name="_xlnm.Print_Titles" localSheetId="0">Dados!$1:$3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4" l="1"/>
  <c r="B14" i="16"/>
  <c r="B14" i="18"/>
  <c r="B14" i="17"/>
  <c r="B14" i="20"/>
  <c r="B13" i="14"/>
  <c r="G42" i="14" s="1"/>
  <c r="B13" i="16"/>
  <c r="G42" i="16" s="1"/>
  <c r="B13" i="18"/>
  <c r="G42" i="18" s="1"/>
  <c r="B13" i="17"/>
  <c r="B13" i="20"/>
  <c r="B12" i="14"/>
  <c r="B12" i="16"/>
  <c r="G36" i="16" s="1"/>
  <c r="B12" i="18"/>
  <c r="G36" i="18" s="1"/>
  <c r="B12" i="17"/>
  <c r="B12" i="20"/>
  <c r="B11" i="14"/>
  <c r="B11" i="16"/>
  <c r="B11" i="18"/>
  <c r="B11" i="17"/>
  <c r="B11" i="20"/>
  <c r="B10" i="14"/>
  <c r="B10" i="16"/>
  <c r="B10" i="18"/>
  <c r="B10" i="17"/>
  <c r="B10" i="20"/>
  <c r="B9" i="14"/>
  <c r="G35" i="14" s="1"/>
  <c r="B9" i="16"/>
  <c r="G35" i="16" s="1"/>
  <c r="B9" i="18"/>
  <c r="B9" i="17"/>
  <c r="G30" i="17" s="1"/>
  <c r="I30" i="17" s="1"/>
  <c r="B9" i="20"/>
  <c r="B8" i="14"/>
  <c r="B8" i="16"/>
  <c r="B8" i="18"/>
  <c r="B8" i="17"/>
  <c r="B8" i="20"/>
  <c r="B7" i="14"/>
  <c r="G39" i="14" s="1"/>
  <c r="B7" i="16"/>
  <c r="G39" i="16" s="1"/>
  <c r="B7" i="18"/>
  <c r="G39" i="18" s="1"/>
  <c r="B7" i="17"/>
  <c r="G39" i="17" s="1"/>
  <c r="B7" i="20"/>
  <c r="B6" i="14"/>
  <c r="B6" i="16"/>
  <c r="G33" i="16" s="1"/>
  <c r="I33" i="16" s="1"/>
  <c r="B6" i="18"/>
  <c r="G38" i="18" s="1"/>
  <c r="B6" i="17"/>
  <c r="B6" i="20"/>
  <c r="G38" i="20" s="1"/>
  <c r="R1" i="31"/>
  <c r="Q1" i="31"/>
  <c r="P1" i="31"/>
  <c r="O1" i="31"/>
  <c r="N1" i="31"/>
  <c r="M1" i="31"/>
  <c r="H42" i="20"/>
  <c r="Q42" i="20" s="1"/>
  <c r="C42" i="20"/>
  <c r="M42" i="20" s="1"/>
  <c r="H41" i="20"/>
  <c r="C41" i="20"/>
  <c r="O41" i="20" s="1"/>
  <c r="H40" i="20"/>
  <c r="C40" i="20"/>
  <c r="O40" i="20" s="1"/>
  <c r="H39" i="20"/>
  <c r="C39" i="20"/>
  <c r="R39" i="20" s="1"/>
  <c r="H38" i="20"/>
  <c r="C38" i="20"/>
  <c r="Q38" i="20" s="1"/>
  <c r="H37" i="20"/>
  <c r="Q37" i="20" s="1"/>
  <c r="C37" i="20"/>
  <c r="O37" i="20" s="1"/>
  <c r="H36" i="20"/>
  <c r="C36" i="20"/>
  <c r="H35" i="20"/>
  <c r="C35" i="20"/>
  <c r="H34" i="20"/>
  <c r="C34" i="20"/>
  <c r="R34" i="20" s="1"/>
  <c r="H33" i="20"/>
  <c r="C33" i="20"/>
  <c r="O33" i="20" s="1"/>
  <c r="H32" i="20"/>
  <c r="Q32" i="20" s="1"/>
  <c r="C32" i="20"/>
  <c r="M32" i="20" s="1"/>
  <c r="H31" i="20"/>
  <c r="C31" i="20"/>
  <c r="O31" i="20" s="1"/>
  <c r="H30" i="20"/>
  <c r="C30" i="20"/>
  <c r="O30" i="20" s="1"/>
  <c r="H29" i="20"/>
  <c r="C29" i="20"/>
  <c r="R29" i="20" s="1"/>
  <c r="H28" i="20"/>
  <c r="C28" i="20"/>
  <c r="Q28" i="20" s="1"/>
  <c r="S13" i="20"/>
  <c r="T13" i="20" s="1"/>
  <c r="Q13" i="20"/>
  <c r="R13" i="20" s="1"/>
  <c r="U13" i="20" s="1"/>
  <c r="G42" i="20"/>
  <c r="U12" i="20"/>
  <c r="T12" i="20"/>
  <c r="S12" i="20"/>
  <c r="G36" i="20"/>
  <c r="S10" i="20"/>
  <c r="T10" i="20" s="1"/>
  <c r="Q10" i="20"/>
  <c r="R10" i="20" s="1"/>
  <c r="U10" i="20" s="1"/>
  <c r="U9" i="20"/>
  <c r="T9" i="20"/>
  <c r="S9" i="20"/>
  <c r="G35" i="20"/>
  <c r="S7" i="20"/>
  <c r="T7" i="20" s="1"/>
  <c r="Q7" i="20"/>
  <c r="R7" i="20" s="1"/>
  <c r="U7" i="20" s="1"/>
  <c r="G39" i="20"/>
  <c r="U6" i="20"/>
  <c r="T6" i="20"/>
  <c r="S6" i="20"/>
  <c r="H42" i="18"/>
  <c r="Q42" i="18" s="1"/>
  <c r="C42" i="18"/>
  <c r="M42" i="18" s="1"/>
  <c r="H41" i="18"/>
  <c r="C41" i="18"/>
  <c r="O41" i="18" s="1"/>
  <c r="H40" i="18"/>
  <c r="C40" i="18"/>
  <c r="O40" i="18" s="1"/>
  <c r="H39" i="18"/>
  <c r="C39" i="18"/>
  <c r="Q39" i="18" s="1"/>
  <c r="H38" i="18"/>
  <c r="C38" i="18"/>
  <c r="Q38" i="18" s="1"/>
  <c r="H37" i="18"/>
  <c r="Q37" i="18" s="1"/>
  <c r="C37" i="18"/>
  <c r="O37" i="18" s="1"/>
  <c r="H36" i="18"/>
  <c r="C36" i="18"/>
  <c r="P36" i="18" s="1"/>
  <c r="H35" i="18"/>
  <c r="C35" i="18"/>
  <c r="Q35" i="18" s="1"/>
  <c r="H34" i="18"/>
  <c r="C34" i="18"/>
  <c r="R34" i="18" s="1"/>
  <c r="H33" i="18"/>
  <c r="C33" i="18"/>
  <c r="O33" i="18" s="1"/>
  <c r="H32" i="18"/>
  <c r="Q32" i="18" s="1"/>
  <c r="C32" i="18"/>
  <c r="M32" i="18" s="1"/>
  <c r="H31" i="18"/>
  <c r="C31" i="18"/>
  <c r="O31" i="18" s="1"/>
  <c r="H30" i="18"/>
  <c r="C30" i="18"/>
  <c r="O30" i="18" s="1"/>
  <c r="H29" i="18"/>
  <c r="C29" i="18"/>
  <c r="M29" i="18" s="1"/>
  <c r="H28" i="18"/>
  <c r="C28" i="18"/>
  <c r="Q28" i="18" s="1"/>
  <c r="S13" i="18"/>
  <c r="T13" i="18" s="1"/>
  <c r="Q13" i="18"/>
  <c r="R13" i="18" s="1"/>
  <c r="U13" i="18" s="1"/>
  <c r="U12" i="18"/>
  <c r="T12" i="18"/>
  <c r="S12" i="18"/>
  <c r="S10" i="18"/>
  <c r="T10" i="18" s="1"/>
  <c r="Q10" i="18"/>
  <c r="R10" i="18" s="1"/>
  <c r="U10" i="18" s="1"/>
  <c r="U9" i="18"/>
  <c r="T9" i="18"/>
  <c r="S9" i="18"/>
  <c r="G35" i="18"/>
  <c r="S7" i="18"/>
  <c r="T7" i="18" s="1"/>
  <c r="Q7" i="18"/>
  <c r="R7" i="18" s="1"/>
  <c r="U7" i="18" s="1"/>
  <c r="U6" i="18"/>
  <c r="T6" i="18"/>
  <c r="S6" i="18"/>
  <c r="H42" i="17"/>
  <c r="Q42" i="17" s="1"/>
  <c r="C42" i="17"/>
  <c r="M42" i="17" s="1"/>
  <c r="H41" i="17"/>
  <c r="C41" i="17"/>
  <c r="O41" i="17" s="1"/>
  <c r="H40" i="17"/>
  <c r="C40" i="17"/>
  <c r="O40" i="17" s="1"/>
  <c r="H39" i="17"/>
  <c r="C39" i="17"/>
  <c r="M39" i="17" s="1"/>
  <c r="H38" i="17"/>
  <c r="C38" i="17"/>
  <c r="Q38" i="17" s="1"/>
  <c r="H37" i="17"/>
  <c r="Q37" i="17" s="1"/>
  <c r="C37" i="17"/>
  <c r="O37" i="17" s="1"/>
  <c r="H36" i="17"/>
  <c r="C36" i="17"/>
  <c r="P36" i="17" s="1"/>
  <c r="H35" i="17"/>
  <c r="C35" i="17"/>
  <c r="H34" i="17"/>
  <c r="C34" i="17"/>
  <c r="R34" i="17" s="1"/>
  <c r="H33" i="17"/>
  <c r="C33" i="17"/>
  <c r="O33" i="17" s="1"/>
  <c r="H32" i="17"/>
  <c r="Q32" i="17" s="1"/>
  <c r="C32" i="17"/>
  <c r="M32" i="17" s="1"/>
  <c r="H31" i="17"/>
  <c r="C31" i="17"/>
  <c r="O31" i="17" s="1"/>
  <c r="H30" i="17"/>
  <c r="C30" i="17"/>
  <c r="O30" i="17" s="1"/>
  <c r="H29" i="17"/>
  <c r="C29" i="17"/>
  <c r="Q29" i="17" s="1"/>
  <c r="H28" i="17"/>
  <c r="C28" i="17"/>
  <c r="Q28" i="17" s="1"/>
  <c r="S13" i="17"/>
  <c r="T13" i="17" s="1"/>
  <c r="Q13" i="17"/>
  <c r="R13" i="17" s="1"/>
  <c r="U13" i="17" s="1"/>
  <c r="G42" i="17"/>
  <c r="U12" i="17"/>
  <c r="T12" i="17"/>
  <c r="S12" i="17"/>
  <c r="G36" i="17"/>
  <c r="S10" i="17"/>
  <c r="T10" i="17" s="1"/>
  <c r="Q10" i="17"/>
  <c r="R10" i="17" s="1"/>
  <c r="U10" i="17" s="1"/>
  <c r="U9" i="17"/>
  <c r="T9" i="17"/>
  <c r="S9" i="17"/>
  <c r="G35" i="17"/>
  <c r="S7" i="17"/>
  <c r="T7" i="17" s="1"/>
  <c r="Q7" i="17"/>
  <c r="R7" i="17" s="1"/>
  <c r="U7" i="17" s="1"/>
  <c r="U6" i="17"/>
  <c r="T6" i="17"/>
  <c r="S6" i="17"/>
  <c r="G38" i="17"/>
  <c r="H42" i="16"/>
  <c r="Q42" i="16" s="1"/>
  <c r="C42" i="16"/>
  <c r="M42" i="16" s="1"/>
  <c r="H41" i="16"/>
  <c r="C41" i="16"/>
  <c r="O41" i="16" s="1"/>
  <c r="H40" i="16"/>
  <c r="C40" i="16"/>
  <c r="O40" i="16" s="1"/>
  <c r="H39" i="16"/>
  <c r="C39" i="16"/>
  <c r="Q39" i="16" s="1"/>
  <c r="H38" i="16"/>
  <c r="C38" i="16"/>
  <c r="Q38" i="16" s="1"/>
  <c r="H37" i="16"/>
  <c r="Q37" i="16" s="1"/>
  <c r="C37" i="16"/>
  <c r="O37" i="16" s="1"/>
  <c r="H36" i="16"/>
  <c r="C36" i="16"/>
  <c r="P36" i="16" s="1"/>
  <c r="H35" i="16"/>
  <c r="C35" i="16"/>
  <c r="H34" i="16"/>
  <c r="C34" i="16"/>
  <c r="R34" i="16" s="1"/>
  <c r="H33" i="16"/>
  <c r="C33" i="16"/>
  <c r="O33" i="16" s="1"/>
  <c r="H32" i="16"/>
  <c r="Q32" i="16" s="1"/>
  <c r="C32" i="16"/>
  <c r="M32" i="16" s="1"/>
  <c r="H31" i="16"/>
  <c r="C31" i="16"/>
  <c r="O31" i="16" s="1"/>
  <c r="H30" i="16"/>
  <c r="C30" i="16"/>
  <c r="O30" i="16" s="1"/>
  <c r="H29" i="16"/>
  <c r="C29" i="16"/>
  <c r="Q29" i="16" s="1"/>
  <c r="H28" i="16"/>
  <c r="C28" i="16"/>
  <c r="Q28" i="16" s="1"/>
  <c r="S13" i="16"/>
  <c r="T13" i="16" s="1"/>
  <c r="Q13" i="16"/>
  <c r="R13" i="16" s="1"/>
  <c r="U13" i="16" s="1"/>
  <c r="U12" i="16"/>
  <c r="T12" i="16"/>
  <c r="S12" i="16"/>
  <c r="S10" i="16"/>
  <c r="T10" i="16" s="1"/>
  <c r="Q10" i="16"/>
  <c r="R10" i="16" s="1"/>
  <c r="U10" i="16" s="1"/>
  <c r="U9" i="16"/>
  <c r="T9" i="16"/>
  <c r="S9" i="16"/>
  <c r="S7" i="16"/>
  <c r="T7" i="16" s="1"/>
  <c r="Q7" i="16"/>
  <c r="R7" i="16" s="1"/>
  <c r="U7" i="16" s="1"/>
  <c r="U6" i="16"/>
  <c r="T6" i="16"/>
  <c r="S6" i="16"/>
  <c r="H42" i="14"/>
  <c r="Q42" i="14" s="1"/>
  <c r="C42" i="14"/>
  <c r="M42" i="14" s="1"/>
  <c r="H41" i="14"/>
  <c r="C41" i="14"/>
  <c r="O41" i="14" s="1"/>
  <c r="H40" i="14"/>
  <c r="C40" i="14"/>
  <c r="O40" i="14" s="1"/>
  <c r="H39" i="14"/>
  <c r="C39" i="14"/>
  <c r="R39" i="14" s="1"/>
  <c r="H38" i="14"/>
  <c r="C38" i="14"/>
  <c r="Q38" i="14" s="1"/>
  <c r="H37" i="14"/>
  <c r="Q37" i="14" s="1"/>
  <c r="C37" i="14"/>
  <c r="O37" i="14" s="1"/>
  <c r="H36" i="14"/>
  <c r="Q36" i="14" s="1"/>
  <c r="C36" i="14"/>
  <c r="M36" i="14" s="1"/>
  <c r="H35" i="14"/>
  <c r="C35" i="14"/>
  <c r="H34" i="14"/>
  <c r="C34" i="14"/>
  <c r="R34" i="14" s="1"/>
  <c r="H33" i="14"/>
  <c r="G33" i="14"/>
  <c r="C33" i="14"/>
  <c r="O33" i="14" s="1"/>
  <c r="H32" i="14"/>
  <c r="Q32" i="14" s="1"/>
  <c r="C32" i="14"/>
  <c r="M32" i="14" s="1"/>
  <c r="H31" i="14"/>
  <c r="C31" i="14"/>
  <c r="O31" i="14" s="1"/>
  <c r="H30" i="14"/>
  <c r="C30" i="14"/>
  <c r="O30" i="14" s="1"/>
  <c r="H29" i="14"/>
  <c r="C29" i="14"/>
  <c r="R29" i="14" s="1"/>
  <c r="H28" i="14"/>
  <c r="C28" i="14"/>
  <c r="Q28" i="14" s="1"/>
  <c r="S13" i="14"/>
  <c r="T13" i="14" s="1"/>
  <c r="Q13" i="14"/>
  <c r="R13" i="14" s="1"/>
  <c r="U13" i="14" s="1"/>
  <c r="U12" i="14"/>
  <c r="T12" i="14"/>
  <c r="S12" i="14"/>
  <c r="G36" i="14"/>
  <c r="S10" i="14"/>
  <c r="T10" i="14" s="1"/>
  <c r="Q10" i="14"/>
  <c r="R10" i="14" s="1"/>
  <c r="U10" i="14" s="1"/>
  <c r="U9" i="14"/>
  <c r="T9" i="14"/>
  <c r="S9" i="14"/>
  <c r="S7" i="14"/>
  <c r="T7" i="14" s="1"/>
  <c r="Q7" i="14"/>
  <c r="R7" i="14" s="1"/>
  <c r="U7" i="14" s="1"/>
  <c r="U6" i="14"/>
  <c r="T6" i="14"/>
  <c r="S6" i="14"/>
  <c r="G38" i="14"/>
  <c r="G30" i="14" l="1"/>
  <c r="I30" i="14" s="1"/>
  <c r="G38" i="16"/>
  <c r="I38" i="16" s="1"/>
  <c r="N38" i="16" s="1"/>
  <c r="M39" i="18"/>
  <c r="Q35" i="14"/>
  <c r="O39" i="18"/>
  <c r="O29" i="18"/>
  <c r="Q36" i="20"/>
  <c r="K33" i="14"/>
  <c r="J33" i="14" s="1"/>
  <c r="P36" i="14"/>
  <c r="P37" i="16"/>
  <c r="Q29" i="18"/>
  <c r="Q39" i="17"/>
  <c r="P40" i="20"/>
  <c r="P40" i="18"/>
  <c r="O36" i="20"/>
  <c r="O39" i="20"/>
  <c r="Q36" i="18"/>
  <c r="M29" i="20"/>
  <c r="M39" i="20"/>
  <c r="M36" i="18"/>
  <c r="Q39" i="20"/>
  <c r="Q39" i="14"/>
  <c r="P33" i="16"/>
  <c r="M39" i="16"/>
  <c r="O36" i="18"/>
  <c r="P30" i="16"/>
  <c r="O39" i="14"/>
  <c r="O34" i="18"/>
  <c r="O34" i="14"/>
  <c r="M39" i="14"/>
  <c r="M29" i="17"/>
  <c r="Q34" i="18"/>
  <c r="M36" i="20"/>
  <c r="G40" i="20"/>
  <c r="I40" i="20" s="1"/>
  <c r="R40" i="20" s="1"/>
  <c r="P30" i="14"/>
  <c r="O34" i="16"/>
  <c r="G40" i="16"/>
  <c r="I40" i="16" s="1"/>
  <c r="R40" i="16" s="1"/>
  <c r="P30" i="18"/>
  <c r="G33" i="18"/>
  <c r="K33" i="18" s="1"/>
  <c r="J33" i="18" s="1"/>
  <c r="G30" i="20"/>
  <c r="K30" i="20" s="1"/>
  <c r="J30" i="20" s="1"/>
  <c r="G37" i="20"/>
  <c r="I37" i="20" s="1"/>
  <c r="R37" i="20" s="1"/>
  <c r="G33" i="17"/>
  <c r="I33" i="17" s="1"/>
  <c r="N33" i="17" s="1"/>
  <c r="O36" i="17"/>
  <c r="O36" i="14"/>
  <c r="Q36" i="17"/>
  <c r="P33" i="18"/>
  <c r="P37" i="20"/>
  <c r="O34" i="17"/>
  <c r="O39" i="17"/>
  <c r="M29" i="16"/>
  <c r="Q31" i="18"/>
  <c r="O34" i="20"/>
  <c r="G37" i="16"/>
  <c r="I37" i="16" s="1"/>
  <c r="R37" i="16" s="1"/>
  <c r="M29" i="14"/>
  <c r="P33" i="14"/>
  <c r="G37" i="14"/>
  <c r="K37" i="14" s="1"/>
  <c r="J37" i="14" s="1"/>
  <c r="Q36" i="16"/>
  <c r="P40" i="16"/>
  <c r="P30" i="17"/>
  <c r="G37" i="17"/>
  <c r="I37" i="17" s="1"/>
  <c r="R37" i="17" s="1"/>
  <c r="M31" i="18"/>
  <c r="G37" i="18"/>
  <c r="I37" i="18" s="1"/>
  <c r="R37" i="18" s="1"/>
  <c r="P30" i="20"/>
  <c r="Q35" i="20"/>
  <c r="P36" i="20"/>
  <c r="O29" i="14"/>
  <c r="Q29" i="14"/>
  <c r="G40" i="14"/>
  <c r="I40" i="14" s="1"/>
  <c r="R40" i="14" s="1"/>
  <c r="M36" i="16"/>
  <c r="O39" i="16"/>
  <c r="P33" i="17"/>
  <c r="G40" i="17"/>
  <c r="K40" i="17" s="1"/>
  <c r="J40" i="17" s="1"/>
  <c r="O29" i="20"/>
  <c r="G33" i="20"/>
  <c r="K33" i="20" s="1"/>
  <c r="J33" i="20" s="1"/>
  <c r="O36" i="16"/>
  <c r="G30" i="18"/>
  <c r="I30" i="18" s="1"/>
  <c r="R30" i="18" s="1"/>
  <c r="P37" i="18"/>
  <c r="G40" i="18"/>
  <c r="K40" i="18" s="1"/>
  <c r="J40" i="18" s="1"/>
  <c r="P37" i="14"/>
  <c r="P37" i="17"/>
  <c r="P40" i="14"/>
  <c r="G30" i="16"/>
  <c r="I30" i="16" s="1"/>
  <c r="R30" i="16" s="1"/>
  <c r="Q35" i="16"/>
  <c r="M36" i="17"/>
  <c r="P40" i="17"/>
  <c r="M34" i="18"/>
  <c r="Q29" i="20"/>
  <c r="P33" i="20"/>
  <c r="Q35" i="17"/>
  <c r="K39" i="20"/>
  <c r="J39" i="20" s="1"/>
  <c r="I39" i="20"/>
  <c r="P39" i="20" s="1"/>
  <c r="K36" i="20"/>
  <c r="J36" i="20" s="1"/>
  <c r="I36" i="20"/>
  <c r="R36" i="20" s="1"/>
  <c r="K42" i="20"/>
  <c r="J42" i="20" s="1"/>
  <c r="I42" i="20"/>
  <c r="R42" i="20" s="1"/>
  <c r="I38" i="20"/>
  <c r="N38" i="20" s="1"/>
  <c r="K38" i="20"/>
  <c r="J38" i="20" s="1"/>
  <c r="I35" i="20"/>
  <c r="R35" i="20" s="1"/>
  <c r="K35" i="20"/>
  <c r="J35" i="20" s="1"/>
  <c r="N32" i="20"/>
  <c r="O28" i="20"/>
  <c r="N29" i="20"/>
  <c r="M30" i="20"/>
  <c r="Q30" i="20"/>
  <c r="G31" i="20"/>
  <c r="P31" i="20"/>
  <c r="O32" i="20"/>
  <c r="M33" i="20"/>
  <c r="Q33" i="20"/>
  <c r="G34" i="20"/>
  <c r="O35" i="20"/>
  <c r="N36" i="20"/>
  <c r="M37" i="20"/>
  <c r="O38" i="20"/>
  <c r="N39" i="20"/>
  <c r="M40" i="20"/>
  <c r="Q40" i="20"/>
  <c r="G41" i="20"/>
  <c r="P41" i="20"/>
  <c r="O42" i="20"/>
  <c r="R28" i="20"/>
  <c r="N35" i="20"/>
  <c r="G28" i="20"/>
  <c r="P28" i="20"/>
  <c r="N30" i="20"/>
  <c r="M31" i="20"/>
  <c r="Q31" i="20"/>
  <c r="G32" i="20"/>
  <c r="P32" i="20"/>
  <c r="R33" i="20"/>
  <c r="M34" i="20"/>
  <c r="Q34" i="20"/>
  <c r="P35" i="20"/>
  <c r="N37" i="20"/>
  <c r="P38" i="20"/>
  <c r="N40" i="20"/>
  <c r="M41" i="20"/>
  <c r="Q41" i="20"/>
  <c r="P42" i="20"/>
  <c r="R38" i="20"/>
  <c r="N42" i="20"/>
  <c r="M28" i="20"/>
  <c r="G29" i="20"/>
  <c r="N31" i="20"/>
  <c r="N34" i="20"/>
  <c r="M35" i="20"/>
  <c r="M38" i="20"/>
  <c r="N41" i="20"/>
  <c r="K37" i="18"/>
  <c r="J37" i="18" s="1"/>
  <c r="K42" i="18"/>
  <c r="J42" i="18" s="1"/>
  <c r="I42" i="18"/>
  <c r="R42" i="18" s="1"/>
  <c r="K38" i="18"/>
  <c r="J38" i="18" s="1"/>
  <c r="I38" i="18"/>
  <c r="N38" i="18" s="1"/>
  <c r="K39" i="18"/>
  <c r="J39" i="18" s="1"/>
  <c r="I39" i="18"/>
  <c r="P39" i="18" s="1"/>
  <c r="K35" i="18"/>
  <c r="J35" i="18" s="1"/>
  <c r="I35" i="18"/>
  <c r="R35" i="18" s="1"/>
  <c r="K36" i="18"/>
  <c r="J36" i="18" s="1"/>
  <c r="I36" i="18"/>
  <c r="R36" i="18" s="1"/>
  <c r="O28" i="18"/>
  <c r="N29" i="18"/>
  <c r="R29" i="18"/>
  <c r="M30" i="18"/>
  <c r="Q30" i="18"/>
  <c r="G31" i="18"/>
  <c r="P31" i="18"/>
  <c r="O32" i="18"/>
  <c r="M33" i="18"/>
  <c r="Q33" i="18"/>
  <c r="G34" i="18"/>
  <c r="O35" i="18"/>
  <c r="N36" i="18"/>
  <c r="M37" i="18"/>
  <c r="O38" i="18"/>
  <c r="N39" i="18"/>
  <c r="R39" i="18"/>
  <c r="M40" i="18"/>
  <c r="Q40" i="18"/>
  <c r="G41" i="18"/>
  <c r="P41" i="18"/>
  <c r="O42" i="18"/>
  <c r="N35" i="18"/>
  <c r="R38" i="18"/>
  <c r="G28" i="18"/>
  <c r="P28" i="18"/>
  <c r="N30" i="18"/>
  <c r="G32" i="18"/>
  <c r="P32" i="18"/>
  <c r="I33" i="18"/>
  <c r="N33" i="18" s="1"/>
  <c r="R33" i="18"/>
  <c r="P35" i="18"/>
  <c r="N37" i="18"/>
  <c r="P38" i="18"/>
  <c r="N40" i="18"/>
  <c r="M41" i="18"/>
  <c r="Q41" i="18"/>
  <c r="P42" i="18"/>
  <c r="R28" i="18"/>
  <c r="N32" i="18"/>
  <c r="N42" i="18"/>
  <c r="M28" i="18"/>
  <c r="G29" i="18"/>
  <c r="N31" i="18"/>
  <c r="N34" i="18"/>
  <c r="M35" i="18"/>
  <c r="M38" i="18"/>
  <c r="N41" i="18"/>
  <c r="K39" i="17"/>
  <c r="J39" i="17" s="1"/>
  <c r="I39" i="17"/>
  <c r="P39" i="17" s="1"/>
  <c r="K36" i="17"/>
  <c r="J36" i="17" s="1"/>
  <c r="I36" i="17"/>
  <c r="R36" i="17" s="1"/>
  <c r="K42" i="17"/>
  <c r="J42" i="17" s="1"/>
  <c r="I42" i="17"/>
  <c r="R42" i="17" s="1"/>
  <c r="I38" i="17"/>
  <c r="N38" i="17" s="1"/>
  <c r="K38" i="17"/>
  <c r="J38" i="17" s="1"/>
  <c r="K35" i="17"/>
  <c r="J35" i="17" s="1"/>
  <c r="I35" i="17"/>
  <c r="R35" i="17" s="1"/>
  <c r="R28" i="17"/>
  <c r="N35" i="17"/>
  <c r="N42" i="17"/>
  <c r="O28" i="17"/>
  <c r="N29" i="17"/>
  <c r="R29" i="17"/>
  <c r="M30" i="17"/>
  <c r="Q30" i="17"/>
  <c r="G31" i="17"/>
  <c r="P31" i="17"/>
  <c r="O32" i="17"/>
  <c r="M33" i="17"/>
  <c r="Q33" i="17"/>
  <c r="G34" i="17"/>
  <c r="O35" i="17"/>
  <c r="N36" i="17"/>
  <c r="M37" i="17"/>
  <c r="O38" i="17"/>
  <c r="N39" i="17"/>
  <c r="R39" i="17"/>
  <c r="M40" i="17"/>
  <c r="Q40" i="17"/>
  <c r="G41" i="17"/>
  <c r="P41" i="17"/>
  <c r="O42" i="17"/>
  <c r="K30" i="17"/>
  <c r="J30" i="17" s="1"/>
  <c r="N32" i="17"/>
  <c r="R38" i="17"/>
  <c r="G28" i="17"/>
  <c r="P28" i="17"/>
  <c r="O29" i="17"/>
  <c r="N30" i="17"/>
  <c r="R30" i="17"/>
  <c r="M31" i="17"/>
  <c r="Q31" i="17"/>
  <c r="G32" i="17"/>
  <c r="P32" i="17"/>
  <c r="R33" i="17"/>
  <c r="M34" i="17"/>
  <c r="Q34" i="17"/>
  <c r="P35" i="17"/>
  <c r="N37" i="17"/>
  <c r="P38" i="17"/>
  <c r="N40" i="17"/>
  <c r="M41" i="17"/>
  <c r="Q41" i="17"/>
  <c r="P42" i="17"/>
  <c r="M28" i="17"/>
  <c r="G29" i="17"/>
  <c r="N31" i="17"/>
  <c r="N34" i="17"/>
  <c r="M35" i="17"/>
  <c r="M38" i="17"/>
  <c r="N41" i="17"/>
  <c r="K35" i="16"/>
  <c r="J35" i="16" s="1"/>
  <c r="I35" i="16"/>
  <c r="R35" i="16" s="1"/>
  <c r="K39" i="16"/>
  <c r="J39" i="16" s="1"/>
  <c r="I39" i="16"/>
  <c r="P39" i="16" s="1"/>
  <c r="K36" i="16"/>
  <c r="J36" i="16" s="1"/>
  <c r="I36" i="16"/>
  <c r="R36" i="16" s="1"/>
  <c r="K42" i="16"/>
  <c r="J42" i="16" s="1"/>
  <c r="I42" i="16"/>
  <c r="R42" i="16" s="1"/>
  <c r="R28" i="16"/>
  <c r="K33" i="16"/>
  <c r="J33" i="16" s="1"/>
  <c r="O28" i="16"/>
  <c r="N29" i="16"/>
  <c r="R29" i="16"/>
  <c r="M30" i="16"/>
  <c r="Q30" i="16"/>
  <c r="G31" i="16"/>
  <c r="P31" i="16"/>
  <c r="O32" i="16"/>
  <c r="M33" i="16"/>
  <c r="Q33" i="16"/>
  <c r="G34" i="16"/>
  <c r="O35" i="16"/>
  <c r="N36" i="16"/>
  <c r="M37" i="16"/>
  <c r="O38" i="16"/>
  <c r="N39" i="16"/>
  <c r="R39" i="16"/>
  <c r="M40" i="16"/>
  <c r="Q40" i="16"/>
  <c r="G41" i="16"/>
  <c r="P41" i="16"/>
  <c r="O42" i="16"/>
  <c r="N35" i="16"/>
  <c r="G28" i="16"/>
  <c r="P28" i="16"/>
  <c r="O29" i="16"/>
  <c r="N30" i="16"/>
  <c r="M31" i="16"/>
  <c r="Q31" i="16"/>
  <c r="G32" i="16"/>
  <c r="P32" i="16"/>
  <c r="N33" i="16"/>
  <c r="R33" i="16"/>
  <c r="M34" i="16"/>
  <c r="Q34" i="16"/>
  <c r="P35" i="16"/>
  <c r="N37" i="16"/>
  <c r="P38" i="16"/>
  <c r="N40" i="16"/>
  <c r="M41" i="16"/>
  <c r="Q41" i="16"/>
  <c r="P42" i="16"/>
  <c r="N32" i="16"/>
  <c r="R38" i="16"/>
  <c r="N42" i="16"/>
  <c r="M28" i="16"/>
  <c r="G29" i="16"/>
  <c r="N31" i="16"/>
  <c r="N34" i="16"/>
  <c r="M35" i="16"/>
  <c r="M38" i="16"/>
  <c r="N41" i="16"/>
  <c r="K36" i="14"/>
  <c r="J36" i="14" s="1"/>
  <c r="I36" i="14"/>
  <c r="R36" i="14" s="1"/>
  <c r="K42" i="14"/>
  <c r="J42" i="14" s="1"/>
  <c r="I42" i="14"/>
  <c r="R42" i="14" s="1"/>
  <c r="K38" i="14"/>
  <c r="J38" i="14" s="1"/>
  <c r="I38" i="14"/>
  <c r="N38" i="14" s="1"/>
  <c r="K39" i="14"/>
  <c r="J39" i="14" s="1"/>
  <c r="I39" i="14"/>
  <c r="P39" i="14" s="1"/>
  <c r="I35" i="14"/>
  <c r="R35" i="14" s="1"/>
  <c r="K35" i="14"/>
  <c r="J35" i="14" s="1"/>
  <c r="R28" i="14"/>
  <c r="N32" i="14"/>
  <c r="N35" i="14"/>
  <c r="O28" i="14"/>
  <c r="N29" i="14"/>
  <c r="M30" i="14"/>
  <c r="Q30" i="14"/>
  <c r="G31" i="14"/>
  <c r="P31" i="14"/>
  <c r="O32" i="14"/>
  <c r="M33" i="14"/>
  <c r="Q33" i="14"/>
  <c r="G34" i="14"/>
  <c r="O35" i="14"/>
  <c r="N36" i="14"/>
  <c r="M37" i="14"/>
  <c r="O38" i="14"/>
  <c r="N39" i="14"/>
  <c r="M40" i="14"/>
  <c r="Q40" i="14"/>
  <c r="G41" i="14"/>
  <c r="P41" i="14"/>
  <c r="O42" i="14"/>
  <c r="K30" i="14"/>
  <c r="J30" i="14" s="1"/>
  <c r="R38" i="14"/>
  <c r="G28" i="14"/>
  <c r="P28" i="14"/>
  <c r="N30" i="14"/>
  <c r="R30" i="14"/>
  <c r="M31" i="14"/>
  <c r="Q31" i="14"/>
  <c r="G32" i="14"/>
  <c r="P32" i="14"/>
  <c r="I33" i="14"/>
  <c r="N33" i="14" s="1"/>
  <c r="R33" i="14"/>
  <c r="M34" i="14"/>
  <c r="Q34" i="14"/>
  <c r="P35" i="14"/>
  <c r="N37" i="14"/>
  <c r="P38" i="14"/>
  <c r="N40" i="14"/>
  <c r="M41" i="14"/>
  <c r="Q41" i="14"/>
  <c r="P42" i="14"/>
  <c r="N42" i="14"/>
  <c r="M28" i="14"/>
  <c r="G29" i="14"/>
  <c r="N31" i="14"/>
  <c r="N34" i="14"/>
  <c r="M35" i="14"/>
  <c r="M38" i="14"/>
  <c r="N41" i="14"/>
  <c r="K30" i="18" l="1"/>
  <c r="J30" i="18" s="1"/>
  <c r="K37" i="16"/>
  <c r="J37" i="16" s="1"/>
  <c r="I30" i="20"/>
  <c r="R30" i="20" s="1"/>
  <c r="K40" i="20"/>
  <c r="J40" i="20" s="1"/>
  <c r="I40" i="17"/>
  <c r="R40" i="17" s="1"/>
  <c r="K38" i="16"/>
  <c r="J38" i="16" s="1"/>
  <c r="K40" i="14"/>
  <c r="J40" i="14" s="1"/>
  <c r="K40" i="16"/>
  <c r="J40" i="16" s="1"/>
  <c r="K30" i="16"/>
  <c r="J30" i="16" s="1"/>
  <c r="K37" i="20"/>
  <c r="J37" i="20" s="1"/>
  <c r="I33" i="20"/>
  <c r="N33" i="20" s="1"/>
  <c r="K33" i="17"/>
  <c r="J33" i="17" s="1"/>
  <c r="K37" i="17"/>
  <c r="J37" i="17" s="1"/>
  <c r="I37" i="14"/>
  <c r="R37" i="14" s="1"/>
  <c r="I40" i="18"/>
  <c r="R40" i="18" s="1"/>
  <c r="K29" i="20"/>
  <c r="J29" i="20" s="1"/>
  <c r="I29" i="20"/>
  <c r="P29" i="20" s="1"/>
  <c r="I28" i="20"/>
  <c r="N28" i="20" s="1"/>
  <c r="K28" i="20"/>
  <c r="J28" i="20" s="1"/>
  <c r="I41" i="20"/>
  <c r="R41" i="20" s="1"/>
  <c r="K41" i="20"/>
  <c r="J41" i="20" s="1"/>
  <c r="I32" i="20"/>
  <c r="R32" i="20" s="1"/>
  <c r="K32" i="20"/>
  <c r="J32" i="20" s="1"/>
  <c r="I31" i="20"/>
  <c r="R31" i="20" s="1"/>
  <c r="K31" i="20"/>
  <c r="J31" i="20" s="1"/>
  <c r="I34" i="20"/>
  <c r="P34" i="20" s="1"/>
  <c r="K34" i="20"/>
  <c r="J34" i="20" s="1"/>
  <c r="I34" i="18"/>
  <c r="P34" i="18" s="1"/>
  <c r="K34" i="18"/>
  <c r="J34" i="18" s="1"/>
  <c r="K29" i="18"/>
  <c r="J29" i="18" s="1"/>
  <c r="I29" i="18"/>
  <c r="P29" i="18" s="1"/>
  <c r="K32" i="18"/>
  <c r="J32" i="18" s="1"/>
  <c r="I32" i="18"/>
  <c r="R32" i="18" s="1"/>
  <c r="K28" i="18"/>
  <c r="J28" i="18" s="1"/>
  <c r="I28" i="18"/>
  <c r="N28" i="18" s="1"/>
  <c r="I41" i="18"/>
  <c r="R41" i="18" s="1"/>
  <c r="K41" i="18"/>
  <c r="J41" i="18" s="1"/>
  <c r="I31" i="18"/>
  <c r="R31" i="18" s="1"/>
  <c r="K31" i="18"/>
  <c r="J31" i="18" s="1"/>
  <c r="K28" i="17"/>
  <c r="J28" i="17" s="1"/>
  <c r="I28" i="17"/>
  <c r="N28" i="17" s="1"/>
  <c r="I34" i="17"/>
  <c r="P34" i="17" s="1"/>
  <c r="K34" i="17"/>
  <c r="J34" i="17" s="1"/>
  <c r="I41" i="17"/>
  <c r="R41" i="17" s="1"/>
  <c r="K41" i="17"/>
  <c r="J41" i="17" s="1"/>
  <c r="I31" i="17"/>
  <c r="R31" i="17" s="1"/>
  <c r="K31" i="17"/>
  <c r="J31" i="17" s="1"/>
  <c r="K29" i="17"/>
  <c r="J29" i="17" s="1"/>
  <c r="I29" i="17"/>
  <c r="P29" i="17" s="1"/>
  <c r="K32" i="17"/>
  <c r="J32" i="17" s="1"/>
  <c r="I32" i="17"/>
  <c r="R32" i="17" s="1"/>
  <c r="K29" i="16"/>
  <c r="J29" i="16" s="1"/>
  <c r="I29" i="16"/>
  <c r="P29" i="16" s="1"/>
  <c r="K32" i="16"/>
  <c r="J32" i="16" s="1"/>
  <c r="I32" i="16"/>
  <c r="R32" i="16" s="1"/>
  <c r="I41" i="16"/>
  <c r="R41" i="16" s="1"/>
  <c r="K41" i="16"/>
  <c r="J41" i="16" s="1"/>
  <c r="I31" i="16"/>
  <c r="R31" i="16" s="1"/>
  <c r="K31" i="16"/>
  <c r="J31" i="16" s="1"/>
  <c r="K28" i="16"/>
  <c r="J28" i="16" s="1"/>
  <c r="I28" i="16"/>
  <c r="N28" i="16" s="1"/>
  <c r="I34" i="16"/>
  <c r="P34" i="16" s="1"/>
  <c r="K34" i="16"/>
  <c r="J34" i="16" s="1"/>
  <c r="I34" i="14"/>
  <c r="P34" i="14" s="1"/>
  <c r="K34" i="14"/>
  <c r="J34" i="14" s="1"/>
  <c r="K28" i="14"/>
  <c r="J28" i="14" s="1"/>
  <c r="I28" i="14"/>
  <c r="N28" i="14" s="1"/>
  <c r="I41" i="14"/>
  <c r="R41" i="14" s="1"/>
  <c r="K41" i="14"/>
  <c r="J41" i="14" s="1"/>
  <c r="K29" i="14"/>
  <c r="J29" i="14" s="1"/>
  <c r="I29" i="14"/>
  <c r="P29" i="14" s="1"/>
  <c r="I31" i="14"/>
  <c r="R31" i="14" s="1"/>
  <c r="K31" i="14"/>
  <c r="J31" i="14" s="1"/>
  <c r="I32" i="14"/>
  <c r="R32" i="14" s="1"/>
  <c r="K32" i="14"/>
  <c r="J32" i="14" s="1"/>
</calcChain>
</file>

<file path=xl/sharedStrings.xml><?xml version="1.0" encoding="utf-8"?>
<sst xmlns="http://schemas.openxmlformats.org/spreadsheetml/2006/main" count="441" uniqueCount="150">
  <si>
    <t>Certificado</t>
  </si>
  <si>
    <t>Código</t>
  </si>
  <si>
    <t>RBC</t>
  </si>
  <si>
    <t>Medição da resistência ôhmica do enrolamento:</t>
  </si>
  <si>
    <t>Verificar a elevação de temperatura média dos enrolamentos e pontos quentes do TC sob condições de operação que produzam as perdas máximas admissíveis.</t>
  </si>
  <si>
    <t>O ensaio de elevação de temperatura deve ser realizado de forma a reproduzir as perdas que influenciam na elevação de temperatura em condições normais de operação.</t>
  </si>
  <si>
    <t>12.1.3.1 - Aplicação da corrente de ensaio</t>
  </si>
  <si>
    <t>12.1.3.2 - Determinação da resistência a frio</t>
  </si>
  <si>
    <t>A aplicação da corrente pode ser feita por meio primário, com os secundários conectados ás cargas nominais, ou por meio de um ou mais secundários, com o primário e os secundários não alimentados curto-circuitados.</t>
  </si>
  <si>
    <t>O ensaio dever ser realizado com a circulação da corrente térmica contínua nominal em todos os seus enrolamentos.</t>
  </si>
  <si>
    <t>Para medição da resistência ôhmica do enrolamento utilizou-se um miliôhmimetro (ponte de Wheatstone) ligado nos terminais do chicote secundário nos cabos identificados sob condições ambientais definidas.</t>
  </si>
  <si>
    <t>O tempo necessário para a estabilização dos valores de corrente e tensão (método da queda de tensão) ou do valor da resistência (método ponte) deve ser registrado após a medição da resistênica, no início do ensaio. Este mesmo intervalo de tempo também deve ser considerado para efetuar as primeiras leituras no final do ensaio.</t>
  </si>
  <si>
    <t>O TC deve permanecer energizado até que a taxa de variação da elevação de temperatura não exceda 1 °C por hora durante três leituras consecutivas de elevação de temperatura.</t>
  </si>
  <si>
    <t>CLIENTE</t>
  </si>
  <si>
    <t>Objeto em Teste:</t>
  </si>
  <si>
    <t>Tipo:</t>
  </si>
  <si>
    <t>DADOS TÉCNICOS</t>
  </si>
  <si>
    <t>O TC deve atender aos requisitos de 5.6, não excedendo os valores de elevação de temperatura especificados na Tabela 12 da NBR 6856.</t>
  </si>
  <si>
    <t>12.1.3 - MÉTODO DE ENSAIO</t>
  </si>
  <si>
    <t>12.1.2 - PROCEDIMENTO</t>
  </si>
  <si>
    <t>12.1.1 - OBJETIVO</t>
  </si>
  <si>
    <t>PROCEDIMENTO DE ENSAIO</t>
  </si>
  <si>
    <t>A aplicação da corrente de ensaio pode ser feita ao enrolamento primário estando os enrolamentos secundários curto-circuitados ou conectados a instrumentos de medição, ou ainda pode-se alimentar enrolamentos secundários curto-circuitados ou conectados a instrumentos de medição.
Em caso de aplicação de corrente através de enrolamentos secundários, a corrente primária deve ser verificada por meio de sistema de medição independente ao TC, ou ainda por enrolamentos secundários que não estejam sendo alimentados pela fonte de corrente.</t>
  </si>
  <si>
    <t>EXECUÇÃO E ACOMPANHAMENTO</t>
  </si>
  <si>
    <t>SERTA Transformadores</t>
  </si>
  <si>
    <t xml:space="preserve">Endereço: </t>
  </si>
  <si>
    <t>RESPONSÁVEL TÉCNICO EM EXERCÍCIO</t>
  </si>
  <si>
    <t>1 - VERIFICAÇÃO DA MARCAÇÃO DOS TERMINAIS E POLARIDADE</t>
  </si>
  <si>
    <t>2 - EXATIDÃO</t>
  </si>
  <si>
    <t>FCR</t>
  </si>
  <si>
    <t>E %</t>
  </si>
  <si>
    <t>( VA )</t>
  </si>
  <si>
    <t>Ensaio (A)</t>
  </si>
  <si>
    <t>Medições Corrigidas</t>
  </si>
  <si>
    <t>Leituras</t>
  </si>
  <si>
    <t>Carga</t>
  </si>
  <si>
    <t>Relação /</t>
  </si>
  <si>
    <t>Erro Relação Inf</t>
  </si>
  <si>
    <t>Erro Relação Sup</t>
  </si>
  <si>
    <t>Clásse</t>
  </si>
  <si>
    <t>Fatores de Correção</t>
  </si>
  <si>
    <t xml:space="preserve">Temperatura Ambiente: </t>
  </si>
  <si>
    <t xml:space="preserve">Umidade: </t>
  </si>
  <si>
    <t>Condições Ambientais Para Ensaio</t>
  </si>
  <si>
    <t>Data da Emissão</t>
  </si>
  <si>
    <t xml:space="preserve">Nome: </t>
  </si>
  <si>
    <t>CEP:</t>
  </si>
  <si>
    <t>RESPONSÁVEIS EXECUÇÃO</t>
  </si>
  <si>
    <t>Eng. Daniel Costa Monteiro - SERTA</t>
  </si>
  <si>
    <t>Umidade medida (%):</t>
  </si>
  <si>
    <t>Ángulo</t>
  </si>
  <si>
    <t>RELATÓRIO: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</si>
  <si>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</si>
  <si>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</si>
  <si>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</si>
  <si>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</si>
  <si>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</si>
  <si>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</si>
  <si>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RASTREABILIDADE METROLÓGICA</t>
  </si>
  <si>
    <t>Instrumento</t>
  </si>
  <si>
    <t>Fabricante</t>
  </si>
  <si>
    <t>Data Calibração</t>
  </si>
  <si>
    <t>Data Próxima Calibração</t>
  </si>
  <si>
    <t>Temperatura Ambiente (ºC):</t>
  </si>
  <si>
    <t>MEDIÇÕES E RESULTADOS</t>
  </si>
  <si>
    <t>Nº SÉRIE:</t>
  </si>
  <si>
    <t>Data do Ensaio</t>
  </si>
  <si>
    <t>Incerteza</t>
  </si>
  <si>
    <t>Relação Nominal TC:</t>
  </si>
  <si>
    <t>Fator Térmico:</t>
  </si>
  <si>
    <t>b</t>
  </si>
  <si>
    <t>Carga para TC</t>
  </si>
  <si>
    <t>Medidor Relação de TC</t>
  </si>
  <si>
    <t xml:space="preserve">REGISTRO DE LEITURAS EXATIDÃO TC </t>
  </si>
  <si>
    <t>A Ensaio (%)</t>
  </si>
  <si>
    <t>TC Padrão CE</t>
  </si>
  <si>
    <t>Classe de Exatidão:</t>
  </si>
  <si>
    <t>Carga (VA):</t>
  </si>
  <si>
    <t>: Técnico Laboratório - SERTA</t>
  </si>
  <si>
    <t>33.040-230</t>
  </si>
  <si>
    <t>IEC</t>
  </si>
  <si>
    <t>Termigrômetro</t>
  </si>
  <si>
    <t>Glauber</t>
  </si>
  <si>
    <t>Para determinar a polaridade e verificar as marcações dos terminais, fazemos a comparação com um TC de polaridade conhecida durante teste de exatidão e conferimos as identificações do equipamento se estão conforme a norma de referência ou solicitações especificas do cliente.</t>
  </si>
  <si>
    <t>FASE - Nº Série</t>
  </si>
  <si>
    <t>Coordenador Qualidade - SERTA</t>
  </si>
  <si>
    <t>EMISSÃO DE RELATÓRIOS DE ENSAIO</t>
  </si>
  <si>
    <t>FR0200
Rev: 00</t>
  </si>
  <si>
    <t>0,5S 1%</t>
  </si>
  <si>
    <t>0,5S 5%</t>
  </si>
  <si>
    <t>0,5S 20, 100 e 120%</t>
  </si>
  <si>
    <t>Pontos 0,5S 1%</t>
  </si>
  <si>
    <t>Pntos 0,5S 5%</t>
  </si>
  <si>
    <t>Pontos 0,5S 20, 100 e 120%</t>
  </si>
  <si>
    <t>RELATÓRIO ENSAIO DE EXATIDÃO TC E VERIFICAÇÃO DA MARCAÇÃO DOS TERMINAIS E POLARIDADE - IEC 0,5S</t>
  </si>
  <si>
    <t>COMERCIAL INGEOELECTRICA SAS</t>
  </si>
  <si>
    <t>Carrera. 21, 169-7, Oficina 201, BOGOTÁ DC &gt; CO</t>
  </si>
  <si>
    <t>Conjuntos de Medição</t>
  </si>
  <si>
    <t>CMT17110</t>
  </si>
  <si>
    <t>38/95/---</t>
  </si>
  <si>
    <t>1,5</t>
  </si>
  <si>
    <t>0,5S</t>
  </si>
  <si>
    <t>Normas de referência:</t>
  </si>
  <si>
    <t>NTC 5933:2012 - (IEC 81689-1:2007) - IEC 61869-2:2012 -</t>
  </si>
  <si>
    <t>IEC 61869-3:2011 - IEC 61869-2:2013</t>
  </si>
  <si>
    <t>Tec. Responsável Glauber Antonio Pires Soares- SERTA</t>
  </si>
  <si>
    <t>METRINS</t>
  </si>
  <si>
    <t>CE 516</t>
  </si>
  <si>
    <t>Não</t>
  </si>
  <si>
    <t>Rastreável</t>
  </si>
  <si>
    <t>Rastrável</t>
  </si>
  <si>
    <t>Documento eletrônico com assinatura digital. A autenticidade deste documento pode ser verificada através de envio de e-mail para: inspecao@sertaconjuntosdemedicao.com.br</t>
  </si>
  <si>
    <t>Verificamos a exatidão do TC pelo método comparativo, liga-se em série os primários do TC sob ensaio e TC padrão. A diferença entre as correntes secundárias é levada a um circuito em ponte adequado para fins de medição.
O ensaio é realizado nas correntes especificadas pela classe de exatidão.
Para esse ensaio não foi considerada a influência do TP no TC.</t>
  </si>
  <si>
    <t>Rua José Calixto, 200 - Santa Luzia - MG &gt; Brasil</t>
  </si>
  <si>
    <t>15ºC A 28ºC</t>
  </si>
  <si>
    <t>55% (+/- 20)</t>
  </si>
  <si>
    <t>0,02</t>
  </si>
  <si>
    <t>0,3</t>
  </si>
  <si>
    <t>082</t>
  </si>
  <si>
    <t>B - 25757/25/04</t>
  </si>
  <si>
    <t>2:1/1%</t>
  </si>
  <si>
    <t>2:1/5%</t>
  </si>
  <si>
    <t>2:1/10%</t>
  </si>
  <si>
    <t>2:1/20%</t>
  </si>
  <si>
    <t>2:1/50%</t>
  </si>
  <si>
    <t>2:1/75%</t>
  </si>
  <si>
    <t>2:1/100%</t>
  </si>
  <si>
    <t>2:1/120%</t>
  </si>
  <si>
    <t>2:1/150%</t>
  </si>
  <si>
    <t>A - 25757/25/05</t>
  </si>
  <si>
    <t>B - 25757/25/05</t>
  </si>
  <si>
    <t>c - 25757/25/05</t>
  </si>
  <si>
    <t>A - 25757/25/07</t>
  </si>
  <si>
    <t>B - 25757/25/07</t>
  </si>
  <si>
    <t>C - 25757/25/07</t>
  </si>
  <si>
    <t>A - 25757/25/08</t>
  </si>
  <si>
    <t>B - 25757/25/08</t>
  </si>
  <si>
    <t>C - 25757/25/08</t>
  </si>
  <si>
    <t>A - 25757/25/09</t>
  </si>
  <si>
    <t>B - 25757/25/09</t>
  </si>
  <si>
    <t>C - 25757/25/09</t>
  </si>
  <si>
    <t>A - 25757/25/11</t>
  </si>
  <si>
    <t>B - 25757/25/11</t>
  </si>
  <si>
    <t>C - 25757/25/11</t>
  </si>
  <si>
    <t>CE 156</t>
  </si>
  <si>
    <t>25757/25/0001 a 25757/25/0020</t>
  </si>
  <si>
    <t>RE25757 2025-01</t>
  </si>
  <si>
    <t>2/4:1</t>
  </si>
  <si>
    <t>METRUM</t>
  </si>
  <si>
    <t>CE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</si>
</sst>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d/mm/yy;@"/>
    <numFmt numFmtId="168" formatCode="[$-416]mmm\-yy;@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11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color rgb="FF0070C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9"/>
      <color rgb="FF0070C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</cellStyleXfs>
  <cellXfs count="207">
    <xf numFmtId="0" fontId="0" fillId="0" borderId="0" xfId="0"/>
    <xf numFmtId="11" fontId="21" fillId="2" borderId="0" xfId="1" applyNumberFormat="1" applyFont="1" applyFill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1" fontId="19" fillId="2" borderId="0" xfId="1" applyNumberFormat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/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166" fontId="28" fillId="2" borderId="14" xfId="1" applyNumberFormat="1" applyFont="1" applyFill="1" applyBorder="1" applyAlignment="1" applyProtection="1">
      <alignment horizontal="center" vertical="center"/>
      <protection locked="0"/>
    </xf>
    <xf numFmtId="0" fontId="28" fillId="2" borderId="0" xfId="1" applyFont="1" applyFill="1" applyAlignment="1" applyProtection="1">
      <alignment horizontal="center" vertical="center"/>
      <protection locked="0"/>
    </xf>
    <xf numFmtId="165" fontId="28" fillId="2" borderId="0" xfId="1" applyNumberFormat="1" applyFont="1" applyFill="1" applyAlignment="1" applyProtection="1">
      <alignment horizontal="center" vertical="center"/>
      <protection locked="0"/>
    </xf>
    <xf numFmtId="0" fontId="31" fillId="2" borderId="14" xfId="1" applyFont="1" applyFill="1" applyBorder="1" applyAlignment="1" applyProtection="1">
      <alignment horizontal="center" vertical="center"/>
      <protection locked="0"/>
    </xf>
    <xf numFmtId="11" fontId="27" fillId="2" borderId="0" xfId="1" applyNumberFormat="1" applyFont="1" applyFill="1" applyAlignment="1" applyProtection="1">
      <alignment horizontal="center" vertical="center"/>
      <protection locked="0"/>
    </xf>
    <xf numFmtId="0" fontId="32" fillId="2" borderId="14" xfId="1" applyFont="1" applyFill="1" applyBorder="1" applyAlignment="1" applyProtection="1">
      <alignment horizontal="center" vertical="center"/>
      <protection locked="0"/>
    </xf>
    <xf numFmtId="0" fontId="32" fillId="2" borderId="0" xfId="1" applyFont="1" applyFill="1" applyAlignment="1" applyProtection="1">
      <alignment horizontal="center" vertical="center"/>
      <protection locked="0"/>
    </xf>
    <xf numFmtId="0" fontId="28" fillId="2" borderId="14" xfId="1" applyFont="1" applyFill="1" applyBorder="1" applyAlignment="1" applyProtection="1">
      <alignment horizontal="center" vertical="center"/>
      <protection locked="0"/>
    </xf>
    <xf numFmtId="49" fontId="28" fillId="2" borderId="0" xfId="1" applyNumberFormat="1" applyFont="1" applyFill="1" applyAlignment="1" applyProtection="1">
      <alignment horizontal="center" vertical="center"/>
      <protection locked="0"/>
    </xf>
    <xf numFmtId="0" fontId="27" fillId="2" borderId="14" xfId="1" applyFont="1" applyFill="1" applyBorder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27" fillId="2" borderId="19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0" fontId="34" fillId="34" borderId="10" xfId="1" applyFont="1" applyFill="1" applyBorder="1" applyAlignment="1" applyProtection="1">
      <alignment horizontal="center" vertical="center" wrapText="1"/>
      <protection locked="0"/>
    </xf>
    <xf numFmtId="0" fontId="19" fillId="2" borderId="0" xfId="1" applyFont="1" applyFill="1" applyAlignment="1" applyProtection="1">
      <alignment horizontal="left" vertical="top"/>
      <protection locked="0"/>
    </xf>
    <xf numFmtId="0" fontId="26" fillId="2" borderId="0" xfId="43" applyFont="1" applyFill="1" applyAlignment="1">
      <alignment vertical="top"/>
    </xf>
    <xf numFmtId="0" fontId="26" fillId="2" borderId="0" xfId="43" applyFont="1" applyFill="1" applyAlignment="1">
      <alignment vertical="center"/>
    </xf>
    <xf numFmtId="0" fontId="26" fillId="2" borderId="0" xfId="43" applyFont="1" applyFill="1" applyAlignment="1">
      <alignment horizontal="left" vertical="top"/>
    </xf>
    <xf numFmtId="0" fontId="26" fillId="2" borderId="20" xfId="43" applyFont="1" applyFill="1" applyBorder="1" applyAlignment="1">
      <alignment vertical="top"/>
    </xf>
    <xf numFmtId="0" fontId="26" fillId="2" borderId="11" xfId="43" applyFont="1" applyFill="1" applyBorder="1" applyAlignment="1">
      <alignment vertical="top"/>
    </xf>
    <xf numFmtId="0" fontId="26" fillId="2" borderId="13" xfId="43" applyFont="1" applyFill="1" applyBorder="1" applyAlignment="1">
      <alignment vertical="top"/>
    </xf>
    <xf numFmtId="0" fontId="26" fillId="2" borderId="14" xfId="43" applyFont="1" applyFill="1" applyBorder="1" applyAlignment="1">
      <alignment vertical="top"/>
    </xf>
    <xf numFmtId="0" fontId="21" fillId="2" borderId="13" xfId="1" applyFont="1" applyFill="1" applyBorder="1" applyProtection="1">
      <protection locked="0"/>
    </xf>
    <xf numFmtId="0" fontId="26" fillId="2" borderId="17" xfId="43" applyFont="1" applyFill="1" applyBorder="1" applyAlignment="1">
      <alignment vertical="top"/>
    </xf>
    <xf numFmtId="0" fontId="26" fillId="2" borderId="15" xfId="43" applyFont="1" applyFill="1" applyBorder="1" applyAlignment="1">
      <alignment vertical="top"/>
    </xf>
    <xf numFmtId="0" fontId="19" fillId="2" borderId="0" xfId="43" applyFont="1" applyFill="1" applyAlignment="1">
      <alignment vertical="top"/>
    </xf>
    <xf numFmtId="14" fontId="26" fillId="2" borderId="0" xfId="43" applyNumberFormat="1" applyFont="1" applyFill="1" applyAlignment="1">
      <alignment horizontal="center" vertical="top"/>
    </xf>
    <xf numFmtId="0" fontId="24" fillId="2" borderId="0" xfId="43" applyFont="1" applyFill="1" applyAlignment="1">
      <alignment vertical="center"/>
    </xf>
    <xf numFmtId="0" fontId="23" fillId="2" borderId="0" xfId="1" applyFont="1" applyFill="1" applyAlignment="1" applyProtection="1">
      <alignment vertical="center"/>
      <protection locked="0"/>
    </xf>
    <xf numFmtId="0" fontId="27" fillId="34" borderId="10" xfId="1" applyFont="1" applyFill="1" applyBorder="1" applyAlignment="1" applyProtection="1">
      <alignment horizontal="center" vertical="center"/>
      <protection locked="0"/>
    </xf>
    <xf numFmtId="0" fontId="34" fillId="2" borderId="10" xfId="1" applyFont="1" applyFill="1" applyBorder="1" applyAlignment="1" applyProtection="1">
      <alignment horizontal="center" vertical="center" wrapText="1"/>
      <protection locked="0"/>
    </xf>
    <xf numFmtId="0" fontId="27" fillId="2" borderId="10" xfId="1" applyFont="1" applyFill="1" applyBorder="1" applyAlignment="1" applyProtection="1">
      <alignment horizontal="center" vertical="center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21" fillId="0" borderId="16" xfId="1" applyFont="1" applyBorder="1" applyAlignment="1" applyProtection="1">
      <alignment vertical="center"/>
      <protection locked="0"/>
    </xf>
    <xf numFmtId="0" fontId="22" fillId="0" borderId="16" xfId="1" applyFont="1" applyBorder="1" applyAlignment="1" applyProtection="1">
      <alignment vertical="center"/>
      <protection locked="0"/>
    </xf>
    <xf numFmtId="0" fontId="35" fillId="0" borderId="16" xfId="1" quotePrefix="1" applyFont="1" applyBorder="1" applyAlignment="1" applyProtection="1">
      <alignment horizontal="center" vertical="center"/>
      <protection locked="0"/>
    </xf>
    <xf numFmtId="0" fontId="21" fillId="0" borderId="16" xfId="1" applyFont="1" applyBorder="1" applyAlignment="1" applyProtection="1">
      <alignment horizontal="right" vertical="center"/>
      <protection locked="0"/>
    </xf>
    <xf numFmtId="14" fontId="35" fillId="0" borderId="16" xfId="1" applyNumberFormat="1" applyFont="1" applyBorder="1" applyAlignment="1" applyProtection="1">
      <alignment horizontal="center" vertical="center"/>
      <protection locked="0"/>
    </xf>
    <xf numFmtId="0" fontId="26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5" fillId="2" borderId="0" xfId="1" applyFont="1" applyFill="1" applyAlignment="1" applyProtection="1">
      <alignment horizontal="left" vertical="center"/>
      <protection locked="0"/>
    </xf>
    <xf numFmtId="0" fontId="36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21" fillId="0" borderId="0" xfId="1" applyFont="1" applyProtection="1">
      <protection locked="0"/>
    </xf>
    <xf numFmtId="0" fontId="34" fillId="34" borderId="19" xfId="1" applyFont="1" applyFill="1" applyBorder="1" applyAlignment="1" applyProtection="1">
      <alignment horizontal="center" vertical="center" wrapText="1"/>
      <protection locked="0"/>
    </xf>
    <xf numFmtId="164" fontId="38" fillId="2" borderId="10" xfId="1" applyNumberFormat="1" applyFont="1" applyFill="1" applyBorder="1" applyAlignment="1" applyProtection="1">
      <alignment horizontal="center" vertical="center"/>
      <protection locked="0"/>
    </xf>
    <xf numFmtId="0" fontId="34" fillId="2" borderId="10" xfId="1" applyFont="1" applyFill="1" applyBorder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right" vertical="center"/>
      <protection locked="0"/>
    </xf>
    <xf numFmtId="49" fontId="29" fillId="2" borderId="10" xfId="1" applyNumberFormat="1" applyFont="1" applyFill="1" applyBorder="1" applyAlignment="1" applyProtection="1">
      <alignment horizontal="center" vertical="center"/>
      <protection locked="0"/>
    </xf>
    <xf numFmtId="0" fontId="27" fillId="2" borderId="20" xfId="1" applyFont="1" applyFill="1" applyBorder="1" applyAlignment="1" applyProtection="1">
      <alignment horizontal="center" vertical="center"/>
      <protection locked="0"/>
    </xf>
    <xf numFmtId="0" fontId="27" fillId="2" borderId="11" xfId="1" applyFont="1" applyFill="1" applyBorder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2" borderId="0" xfId="1" applyFont="1" applyFill="1" applyProtection="1">
      <protection locked="0"/>
    </xf>
    <xf numFmtId="49" fontId="22" fillId="2" borderId="0" xfId="1" quotePrefix="1" applyNumberFormat="1" applyFont="1" applyFill="1" applyAlignment="1" applyProtection="1">
      <alignment horizontal="left" vertical="center"/>
      <protection locked="0"/>
    </xf>
    <xf numFmtId="0" fontId="27" fillId="2" borderId="11" xfId="1" applyFont="1" applyFill="1" applyBorder="1" applyAlignment="1" applyProtection="1">
      <alignment horizontal="center" vertical="center"/>
      <protection locked="0"/>
    </xf>
    <xf numFmtId="0" fontId="27" fillId="2" borderId="25" xfId="1" applyFont="1" applyFill="1" applyBorder="1" applyAlignment="1" applyProtection="1">
      <alignment horizontal="center" vertical="center"/>
      <protection locked="0"/>
    </xf>
    <xf numFmtId="0" fontId="27" fillId="2" borderId="13" xfId="1" applyFont="1" applyFill="1" applyBorder="1" applyAlignment="1" applyProtection="1">
      <alignment horizontal="center" vertical="center"/>
      <protection locked="0"/>
    </xf>
    <xf numFmtId="0" fontId="30" fillId="2" borderId="10" xfId="1" applyFont="1" applyFill="1" applyBorder="1" applyAlignment="1" applyProtection="1">
      <alignment horizontal="center" vertical="center"/>
      <protection locked="0"/>
    </xf>
    <xf numFmtId="0" fontId="30" fillId="0" borderId="10" xfId="1" applyFont="1" applyBorder="1" applyAlignment="1" applyProtection="1">
      <alignment horizontal="center" vertical="center" wrapText="1"/>
      <protection locked="0"/>
    </xf>
    <xf numFmtId="14" fontId="30" fillId="0" borderId="10" xfId="1" applyNumberFormat="1" applyFont="1" applyBorder="1" applyAlignment="1" applyProtection="1">
      <alignment horizontal="center" vertical="center" wrapText="1"/>
      <protection locked="0"/>
    </xf>
    <xf numFmtId="168" fontId="30" fillId="0" borderId="10" xfId="1" applyNumberFormat="1" applyFont="1" applyBorder="1" applyAlignment="1" applyProtection="1">
      <alignment horizontal="center" vertical="center" wrapText="1"/>
      <protection locked="0"/>
    </xf>
    <xf numFmtId="0" fontId="30" fillId="2" borderId="18" xfId="1" applyFont="1" applyFill="1" applyBorder="1" applyAlignment="1" applyProtection="1">
      <alignment horizontal="left" vertical="center" indent="1"/>
      <protection locked="0"/>
    </xf>
    <xf numFmtId="0" fontId="30" fillId="2" borderId="18" xfId="1" applyFont="1" applyFill="1" applyBorder="1" applyAlignment="1" applyProtection="1">
      <alignment horizontal="left" vertical="center" indent="3"/>
      <protection locked="0"/>
    </xf>
    <xf numFmtId="0" fontId="30" fillId="2" borderId="19" xfId="1" applyFont="1" applyFill="1" applyBorder="1" applyAlignment="1" applyProtection="1">
      <alignment horizontal="left" vertical="center" indent="3"/>
      <protection locked="0"/>
    </xf>
    <xf numFmtId="0" fontId="30" fillId="2" borderId="19" xfId="1" applyFont="1" applyFill="1" applyBorder="1" applyAlignment="1" applyProtection="1">
      <alignment horizontal="left" vertical="center" wrapText="1"/>
      <protection locked="0"/>
    </xf>
    <xf numFmtId="164" fontId="38" fillId="2" borderId="26" xfId="1" applyNumberFormat="1" applyFont="1" applyFill="1" applyBorder="1" applyAlignment="1" applyProtection="1">
      <alignment horizontal="center" vertical="center"/>
      <protection locked="0"/>
    </xf>
    <xf numFmtId="165" fontId="38" fillId="2" borderId="10" xfId="1" applyNumberFormat="1" applyFont="1" applyFill="1" applyBorder="1" applyAlignment="1" applyProtection="1">
      <alignment horizontal="center" vertical="center"/>
      <protection locked="0"/>
    </xf>
    <xf numFmtId="165" fontId="38" fillId="2" borderId="26" xfId="1" applyNumberFormat="1" applyFont="1" applyFill="1" applyBorder="1" applyAlignment="1" applyProtection="1">
      <alignment horizontal="center" vertical="center"/>
      <protection locked="0"/>
    </xf>
    <xf numFmtId="0" fontId="22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horizontal="left" vertical="center"/>
      <protection locked="0"/>
    </xf>
    <xf numFmtId="0" fontId="27" fillId="2" borderId="23" xfId="1" applyFont="1" applyFill="1" applyBorder="1" applyAlignment="1" applyProtection="1">
      <alignment horizontal="center" vertical="center"/>
      <protection locked="0"/>
    </xf>
    <xf numFmtId="0" fontId="34" fillId="2" borderId="22" xfId="1" applyFont="1" applyFill="1" applyBorder="1" applyAlignment="1" applyProtection="1">
      <alignment horizontal="center" vertical="center"/>
      <protection locked="0"/>
    </xf>
    <xf numFmtId="0" fontId="27" fillId="37" borderId="10" xfId="1" applyFont="1" applyFill="1" applyBorder="1" applyAlignment="1" applyProtection="1">
      <alignment horizontal="center" vertical="center"/>
      <protection locked="0"/>
    </xf>
    <xf numFmtId="0" fontId="27" fillId="38" borderId="10" xfId="1" applyFont="1" applyFill="1" applyBorder="1" applyAlignment="1" applyProtection="1">
      <alignment horizontal="center" vertical="center"/>
      <protection locked="0"/>
    </xf>
    <xf numFmtId="0" fontId="27" fillId="39" borderId="10" xfId="1" applyFont="1" applyFill="1" applyBorder="1" applyAlignment="1" applyProtection="1">
      <alignment horizontal="center" vertical="center"/>
      <protection locked="0"/>
    </xf>
    <xf numFmtId="0" fontId="31" fillId="2" borderId="22" xfId="1" applyFont="1" applyFill="1" applyBorder="1" applyAlignment="1" applyProtection="1">
      <alignment horizontal="center" vertical="center"/>
      <protection locked="0"/>
    </xf>
    <xf numFmtId="165" fontId="38" fillId="2" borderId="39" xfId="1" applyNumberFormat="1" applyFont="1" applyFill="1" applyBorder="1" applyAlignment="1" applyProtection="1">
      <alignment horizontal="center" vertical="center"/>
      <protection locked="0"/>
    </xf>
    <xf numFmtId="164" fontId="38" fillId="2" borderId="39" xfId="1" applyNumberFormat="1" applyFont="1" applyFill="1" applyBorder="1" applyAlignment="1" applyProtection="1">
      <alignment horizontal="center" vertical="center"/>
      <protection locked="0"/>
    </xf>
    <xf numFmtId="0" fontId="32" fillId="2" borderId="44" xfId="1" applyFont="1" applyFill="1" applyBorder="1" applyAlignment="1" applyProtection="1">
      <alignment vertical="center"/>
      <protection locked="0"/>
    </xf>
    <xf numFmtId="0" fontId="32" fillId="2" borderId="45" xfId="1" applyFont="1" applyFill="1" applyBorder="1" applyAlignment="1" applyProtection="1">
      <alignment horizontal="right" vertical="center"/>
      <protection locked="0"/>
    </xf>
    <xf numFmtId="0" fontId="31" fillId="2" borderId="42" xfId="1" applyFont="1" applyFill="1" applyBorder="1" applyAlignment="1" applyProtection="1">
      <alignment horizontal="center" vertical="center"/>
      <protection locked="0"/>
    </xf>
    <xf numFmtId="0" fontId="28" fillId="2" borderId="47" xfId="1" applyFont="1" applyFill="1" applyBorder="1" applyAlignment="1" applyProtection="1">
      <alignment vertical="center" wrapText="1"/>
      <protection locked="0"/>
    </xf>
    <xf numFmtId="49" fontId="29" fillId="2" borderId="48" xfId="1" applyNumberFormat="1" applyFont="1" applyFill="1" applyBorder="1" applyAlignment="1" applyProtection="1">
      <alignment horizontal="center" vertical="center"/>
      <protection locked="0"/>
    </xf>
    <xf numFmtId="0" fontId="28" fillId="2" borderId="41" xfId="1" applyFont="1" applyFill="1" applyBorder="1" applyAlignment="1" applyProtection="1">
      <alignment vertical="center" wrapText="1"/>
      <protection locked="0"/>
    </xf>
    <xf numFmtId="49" fontId="29" fillId="2" borderId="42" xfId="1" applyNumberFormat="1" applyFont="1" applyFill="1" applyBorder="1" applyAlignment="1" applyProtection="1">
      <alignment horizontal="center" vertical="center"/>
      <protection locked="0"/>
    </xf>
    <xf numFmtId="0" fontId="27" fillId="2" borderId="49" xfId="1" applyFont="1" applyFill="1" applyBorder="1" applyAlignment="1" applyProtection="1">
      <alignment horizontal="center" vertical="center"/>
      <protection locked="0"/>
    </xf>
    <xf numFmtId="0" fontId="27" fillId="2" borderId="48" xfId="1" applyFont="1" applyFill="1" applyBorder="1" applyAlignment="1" applyProtection="1">
      <alignment horizontal="center" vertical="center"/>
      <protection locked="0"/>
    </xf>
    <xf numFmtId="0" fontId="28" fillId="2" borderId="24" xfId="1" applyFont="1" applyFill="1" applyBorder="1" applyAlignment="1" applyProtection="1">
      <alignment horizontal="left" vertical="center"/>
      <protection locked="0"/>
    </xf>
    <xf numFmtId="0" fontId="27" fillId="2" borderId="42" xfId="1" applyFont="1" applyFill="1" applyBorder="1" applyAlignment="1" applyProtection="1">
      <alignment horizontal="center" vertical="center"/>
      <protection locked="0"/>
    </xf>
    <xf numFmtId="0" fontId="28" fillId="2" borderId="30" xfId="1" applyFont="1" applyFill="1" applyBorder="1" applyAlignment="1" applyProtection="1">
      <alignment vertical="center"/>
      <protection locked="0"/>
    </xf>
    <xf numFmtId="0" fontId="27" fillId="2" borderId="52" xfId="1" applyFont="1" applyFill="1" applyBorder="1" applyAlignment="1" applyProtection="1">
      <alignment horizontal="center" vertical="center"/>
      <protection locked="0"/>
    </xf>
    <xf numFmtId="0" fontId="27" fillId="2" borderId="53" xfId="1" applyFont="1" applyFill="1" applyBorder="1" applyAlignment="1" applyProtection="1">
      <alignment horizontal="center" vertical="center"/>
      <protection locked="0"/>
    </xf>
    <xf numFmtId="0" fontId="27" fillId="2" borderId="27" xfId="1" applyFont="1" applyFill="1" applyBorder="1" applyAlignment="1" applyProtection="1">
      <alignment horizontal="left" vertical="center"/>
      <protection locked="0"/>
    </xf>
    <xf numFmtId="0" fontId="27" fillId="2" borderId="28" xfId="1" applyFont="1" applyFill="1" applyBorder="1" applyAlignment="1" applyProtection="1">
      <alignment horizontal="center" vertical="center"/>
      <protection locked="0"/>
    </xf>
    <xf numFmtId="0" fontId="29" fillId="2" borderId="40" xfId="1" applyFont="1" applyFill="1" applyBorder="1" applyAlignment="1" applyProtection="1">
      <alignment horizontal="center" vertical="center"/>
      <protection locked="0"/>
    </xf>
    <xf numFmtId="0" fontId="27" fillId="2" borderId="30" xfId="1" applyFont="1" applyFill="1" applyBorder="1" applyAlignment="1" applyProtection="1">
      <alignment horizontal="left" vertical="center"/>
      <protection locked="0"/>
    </xf>
    <xf numFmtId="0" fontId="27" fillId="2" borderId="31" xfId="1" applyFont="1" applyFill="1" applyBorder="1" applyAlignment="1" applyProtection="1">
      <alignment horizontal="center" vertical="center"/>
      <protection locked="0"/>
    </xf>
    <xf numFmtId="0" fontId="29" fillId="2" borderId="43" xfId="1" applyFont="1" applyFill="1" applyBorder="1" applyAlignment="1" applyProtection="1">
      <alignment horizontal="center" vertical="center"/>
      <protection locked="0"/>
    </xf>
    <xf numFmtId="49" fontId="29" fillId="2" borderId="38" xfId="1" applyNumberFormat="1" applyFont="1" applyFill="1" applyBorder="1" applyAlignment="1" applyProtection="1">
      <alignment horizontal="left" vertical="center"/>
      <protection locked="0"/>
    </xf>
    <xf numFmtId="165" fontId="27" fillId="2" borderId="10" xfId="1" applyNumberFormat="1" applyFont="1" applyFill="1" applyBorder="1" applyAlignment="1" applyProtection="1">
      <alignment horizontal="center" vertical="center"/>
      <protection locked="0"/>
    </xf>
    <xf numFmtId="20" fontId="27" fillId="2" borderId="24" xfId="1" applyNumberFormat="1" applyFont="1" applyFill="1" applyBorder="1" applyAlignment="1" applyProtection="1">
      <alignment horizontal="center" vertical="center"/>
      <protection locked="0"/>
    </xf>
    <xf numFmtId="0" fontId="27" fillId="2" borderId="24" xfId="1" applyFont="1" applyFill="1" applyBorder="1" applyAlignment="1" applyProtection="1">
      <alignment horizontal="center" vertical="center"/>
      <protection locked="0"/>
    </xf>
    <xf numFmtId="167" fontId="38" fillId="2" borderId="54" xfId="1" applyNumberFormat="1" applyFont="1" applyFill="1" applyBorder="1" applyAlignment="1" applyProtection="1">
      <alignment horizontal="center" vertical="center"/>
      <protection locked="0"/>
    </xf>
    <xf numFmtId="0" fontId="29" fillId="2" borderId="21" xfId="1" applyFont="1" applyFill="1" applyBorder="1" applyAlignment="1" applyProtection="1">
      <alignment horizontal="center" vertical="center"/>
      <protection locked="0"/>
    </xf>
    <xf numFmtId="165" fontId="38" fillId="2" borderId="21" xfId="1" applyNumberFormat="1" applyFont="1" applyFill="1" applyBorder="1" applyAlignment="1" applyProtection="1">
      <alignment horizontal="center" vertical="center"/>
      <protection locked="0"/>
    </xf>
    <xf numFmtId="164" fontId="38" fillId="2" borderId="21" xfId="1" applyNumberFormat="1" applyFont="1" applyFill="1" applyBorder="1" applyAlignment="1" applyProtection="1">
      <alignment horizontal="center" vertical="center"/>
      <protection locked="0"/>
    </xf>
    <xf numFmtId="165" fontId="38" fillId="2" borderId="56" xfId="1" applyNumberFormat="1" applyFont="1" applyFill="1" applyBorder="1" applyAlignment="1" applyProtection="1">
      <alignment horizontal="center" vertical="center"/>
      <protection locked="0"/>
    </xf>
    <xf numFmtId="164" fontId="38" fillId="2" borderId="56" xfId="1" applyNumberFormat="1" applyFont="1" applyFill="1" applyBorder="1" applyAlignment="1" applyProtection="1">
      <alignment horizontal="center" vertical="center"/>
      <protection locked="0"/>
    </xf>
    <xf numFmtId="0" fontId="28" fillId="2" borderId="41" xfId="1" applyFont="1" applyFill="1" applyBorder="1" applyAlignment="1" applyProtection="1">
      <alignment horizontal="center" vertical="center"/>
      <protection locked="0"/>
    </xf>
    <xf numFmtId="165" fontId="39" fillId="2" borderId="39" xfId="1" applyNumberFormat="1" applyFont="1" applyFill="1" applyBorder="1" applyAlignment="1">
      <alignment horizontal="center" vertical="center"/>
    </xf>
    <xf numFmtId="165" fontId="1" fillId="2" borderId="40" xfId="1" applyNumberFormat="1" applyFill="1" applyBorder="1" applyAlignment="1">
      <alignment horizontal="center" vertical="center"/>
    </xf>
    <xf numFmtId="165" fontId="39" fillId="2" borderId="10" xfId="1" applyNumberFormat="1" applyFont="1" applyFill="1" applyBorder="1" applyAlignment="1">
      <alignment horizontal="center" vertical="center"/>
    </xf>
    <xf numFmtId="165" fontId="1" fillId="2" borderId="42" xfId="1" applyNumberFormat="1" applyFill="1" applyBorder="1" applyAlignment="1">
      <alignment horizontal="center" vertical="center"/>
    </xf>
    <xf numFmtId="165" fontId="39" fillId="2" borderId="56" xfId="1" applyNumberFormat="1" applyFont="1" applyFill="1" applyBorder="1" applyAlignment="1">
      <alignment horizontal="center" vertical="center"/>
    </xf>
    <xf numFmtId="165" fontId="1" fillId="2" borderId="55" xfId="1" applyNumberFormat="1" applyFill="1" applyBorder="1" applyAlignment="1">
      <alignment horizontal="center" vertical="center"/>
    </xf>
    <xf numFmtId="165" fontId="39" fillId="2" borderId="21" xfId="1" applyNumberFormat="1" applyFont="1" applyFill="1" applyBorder="1" applyAlignment="1">
      <alignment horizontal="center" vertical="center"/>
    </xf>
    <xf numFmtId="165" fontId="1" fillId="2" borderId="46" xfId="1" applyNumberFormat="1" applyFill="1" applyBorder="1" applyAlignment="1">
      <alignment horizontal="center" vertical="center"/>
    </xf>
    <xf numFmtId="165" fontId="39" fillId="2" borderId="26" xfId="1" applyNumberFormat="1" applyFont="1" applyFill="1" applyBorder="1" applyAlignment="1">
      <alignment horizontal="center" vertical="center"/>
    </xf>
    <xf numFmtId="165" fontId="1" fillId="2" borderId="43" xfId="1" applyNumberFormat="1" applyFill="1" applyBorder="1" applyAlignment="1">
      <alignment horizontal="center" vertical="center"/>
    </xf>
    <xf numFmtId="9" fontId="42" fillId="2" borderId="39" xfId="44" applyFont="1" applyFill="1" applyBorder="1" applyAlignment="1" applyProtection="1">
      <alignment horizontal="center" vertical="center"/>
    </xf>
    <xf numFmtId="0" fontId="42" fillId="2" borderId="39" xfId="1" applyFont="1" applyFill="1" applyBorder="1" applyAlignment="1">
      <alignment horizontal="center" vertical="center"/>
    </xf>
    <xf numFmtId="9" fontId="42" fillId="2" borderId="10" xfId="44" applyFont="1" applyFill="1" applyBorder="1" applyAlignment="1" applyProtection="1">
      <alignment horizontal="center" vertical="center"/>
    </xf>
    <xf numFmtId="0" fontId="42" fillId="2" borderId="10" xfId="1" applyFont="1" applyFill="1" applyBorder="1" applyAlignment="1">
      <alignment horizontal="center" vertical="center"/>
    </xf>
    <xf numFmtId="9" fontId="42" fillId="2" borderId="56" xfId="44" applyFont="1" applyFill="1" applyBorder="1" applyAlignment="1" applyProtection="1">
      <alignment horizontal="center" vertical="center"/>
    </xf>
    <xf numFmtId="0" fontId="42" fillId="2" borderId="56" xfId="1" applyFont="1" applyFill="1" applyBorder="1" applyAlignment="1">
      <alignment horizontal="center" vertical="center"/>
    </xf>
    <xf numFmtId="0" fontId="42" fillId="2" borderId="21" xfId="1" applyFont="1" applyFill="1" applyBorder="1" applyAlignment="1">
      <alignment horizontal="center" vertical="center"/>
    </xf>
    <xf numFmtId="0" fontId="42" fillId="2" borderId="26" xfId="1" applyFont="1" applyFill="1" applyBorder="1" applyAlignment="1">
      <alignment horizontal="center" vertical="center"/>
    </xf>
    <xf numFmtId="165" fontId="27" fillId="2" borderId="13" xfId="1" applyNumberFormat="1" applyFont="1" applyFill="1" applyBorder="1" applyAlignment="1" applyProtection="1">
      <alignment horizontal="center" vertical="center"/>
      <protection locked="0"/>
    </xf>
    <xf numFmtId="165" fontId="27" fillId="2" borderId="14" xfId="1" applyNumberFormat="1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 applyProtection="1">
      <alignment vertical="center"/>
      <protection locked="0"/>
    </xf>
    <xf numFmtId="14" fontId="43" fillId="0" borderId="0" xfId="1" applyNumberFormat="1" applyFont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22" fillId="36" borderId="0" xfId="1" applyFont="1" applyFill="1" applyAlignment="1" applyProtection="1">
      <alignment horizontal="left" vertical="center"/>
      <protection locked="0"/>
    </xf>
    <xf numFmtId="49" fontId="22" fillId="0" borderId="0" xfId="45" applyNumberFormat="1" applyFont="1" applyAlignment="1" applyProtection="1">
      <alignment horizontal="left" vertical="center"/>
      <protection locked="0"/>
    </xf>
    <xf numFmtId="0" fontId="25" fillId="2" borderId="17" xfId="1" applyFont="1" applyFill="1" applyBorder="1" applyAlignment="1" applyProtection="1">
      <alignment vertical="center"/>
      <protection locked="0"/>
    </xf>
    <xf numFmtId="2" fontId="27" fillId="2" borderId="42" xfId="1" applyNumberFormat="1" applyFont="1" applyFill="1" applyBorder="1" applyAlignment="1" applyProtection="1">
      <alignment horizontal="center" vertical="center"/>
      <protection locked="0"/>
    </xf>
    <xf numFmtId="2" fontId="27" fillId="2" borderId="57" xfId="1" applyNumberFormat="1" applyFont="1" applyFill="1" applyBorder="1" applyAlignment="1" applyProtection="1">
      <alignment horizontal="center" vertical="center"/>
      <protection locked="0"/>
    </xf>
    <xf numFmtId="49" fontId="29" fillId="2" borderId="0" xfId="1" applyNumberFormat="1" applyFont="1" applyFill="1" applyAlignment="1" applyProtection="1">
      <alignment horizontal="center" vertical="center"/>
      <protection locked="0"/>
    </xf>
    <xf numFmtId="0" fontId="29" fillId="2" borderId="58" xfId="1" applyFont="1" applyFill="1" applyBorder="1" applyAlignment="1" applyProtection="1">
      <alignment horizontal="center" vertical="center"/>
      <protection locked="0"/>
    </xf>
    <xf numFmtId="0" fontId="29" fillId="2" borderId="10" xfId="1" applyFont="1" applyFill="1" applyBorder="1" applyAlignment="1" applyProtection="1">
      <alignment horizontal="center" vertical="center"/>
      <protection locked="0"/>
    </xf>
    <xf numFmtId="167" fontId="38" fillId="2" borderId="41" xfId="1" applyNumberFormat="1" applyFont="1" applyFill="1" applyBorder="1" applyAlignment="1" applyProtection="1">
      <alignment horizontal="center" vertical="center"/>
      <protection locked="0"/>
    </xf>
    <xf numFmtId="167" fontId="38" fillId="2" borderId="59" xfId="1" applyNumberFormat="1" applyFont="1" applyFill="1" applyBorder="1" applyAlignment="1" applyProtection="1">
      <alignment horizontal="center" vertical="center"/>
      <protection locked="0"/>
    </xf>
    <xf numFmtId="0" fontId="29" fillId="2" borderId="26" xfId="1" applyFont="1" applyFill="1" applyBorder="1" applyAlignment="1" applyProtection="1">
      <alignment horizontal="center" vertical="center"/>
      <protection locked="0"/>
    </xf>
    <xf numFmtId="167" fontId="38" fillId="2" borderId="61" xfId="1" applyNumberFormat="1" applyFont="1" applyFill="1" applyBorder="1" applyAlignment="1" applyProtection="1">
      <alignment horizontal="center" vertical="center"/>
      <protection locked="0"/>
    </xf>
    <xf numFmtId="167" fontId="38" fillId="2" borderId="60" xfId="1" applyNumberFormat="1" applyFont="1" applyFill="1" applyBorder="1" applyAlignment="1" applyProtection="1">
      <alignment horizontal="center" vertical="center"/>
      <protection locked="0"/>
    </xf>
    <xf numFmtId="0" fontId="29" fillId="2" borderId="56" xfId="1" applyFont="1" applyFill="1" applyBorder="1" applyAlignment="1" applyProtection="1">
      <alignment horizontal="center" vertical="center"/>
      <protection locked="0"/>
    </xf>
    <xf numFmtId="0" fontId="26" fillId="2" borderId="0" xfId="43" applyFont="1" applyFill="1" applyBorder="1" applyAlignment="1">
      <alignment vertical="top"/>
    </xf>
    <xf numFmtId="0" fontId="25" fillId="2" borderId="0" xfId="1" applyFont="1" applyFill="1" applyBorder="1" applyAlignment="1" applyProtection="1">
      <alignment vertical="center"/>
      <protection locked="0"/>
    </xf>
    <xf numFmtId="0" fontId="37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34" fillId="34" borderId="18" xfId="1" applyFont="1" applyFill="1" applyBorder="1" applyAlignment="1" applyProtection="1">
      <alignment horizontal="center" vertical="center"/>
      <protection locked="0"/>
    </xf>
    <xf numFmtId="0" fontId="34" fillId="34" borderId="19" xfId="1" applyFont="1" applyFill="1" applyBorder="1" applyAlignment="1" applyProtection="1">
      <alignment horizontal="center" vertical="center"/>
      <protection locked="0"/>
    </xf>
    <xf numFmtId="0" fontId="40" fillId="0" borderId="33" xfId="0" applyFont="1" applyBorder="1" applyAlignment="1">
      <alignment horizontal="center"/>
    </xf>
    <xf numFmtId="0" fontId="40" fillId="0" borderId="34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41" fillId="0" borderId="27" xfId="0" applyFont="1" applyBorder="1" applyAlignment="1" applyProtection="1">
      <alignment horizontal="left" vertical="center" wrapText="1"/>
      <protection locked="0"/>
    </xf>
    <xf numFmtId="0" fontId="41" fillId="0" borderId="29" xfId="0" applyFont="1" applyBorder="1" applyAlignment="1" applyProtection="1">
      <alignment horizontal="left" vertical="center" wrapText="1"/>
      <protection locked="0"/>
    </xf>
    <xf numFmtId="0" fontId="41" fillId="0" borderId="30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horizontal="left" vertical="center" wrapText="1"/>
      <protection locked="0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6" fillId="35" borderId="16" xfId="1" applyFont="1" applyFill="1" applyBorder="1" applyAlignment="1" applyProtection="1">
      <alignment horizontal="left" vertical="center"/>
      <protection locked="0"/>
    </xf>
    <xf numFmtId="0" fontId="28" fillId="2" borderId="41" xfId="1" applyFont="1" applyFill="1" applyBorder="1" applyAlignment="1" applyProtection="1">
      <alignment horizontal="center" vertical="center"/>
      <protection locked="0"/>
    </xf>
    <xf numFmtId="0" fontId="28" fillId="2" borderId="21" xfId="1" applyFont="1" applyFill="1" applyBorder="1" applyAlignment="1" applyProtection="1">
      <alignment horizontal="center" vertical="center"/>
      <protection locked="0"/>
    </xf>
    <xf numFmtId="0" fontId="28" fillId="2" borderId="46" xfId="1" applyFont="1" applyFill="1" applyBorder="1" applyAlignment="1" applyProtection="1">
      <alignment horizontal="center" vertical="center"/>
      <protection locked="0"/>
    </xf>
    <xf numFmtId="0" fontId="27" fillId="39" borderId="22" xfId="1" applyFont="1" applyFill="1" applyBorder="1" applyAlignment="1" applyProtection="1">
      <alignment horizontal="center" vertical="center"/>
      <protection locked="0"/>
    </xf>
    <xf numFmtId="0" fontId="27" fillId="39" borderId="21" xfId="1" applyFont="1" applyFill="1" applyBorder="1" applyAlignment="1" applyProtection="1">
      <alignment horizontal="center" vertical="center"/>
      <protection locked="0"/>
    </xf>
    <xf numFmtId="0" fontId="28" fillId="2" borderId="50" xfId="1" applyFont="1" applyFill="1" applyBorder="1" applyAlignment="1" applyProtection="1">
      <alignment horizontal="center" vertical="center"/>
      <protection locked="0"/>
    </xf>
    <xf numFmtId="0" fontId="28" fillId="2" borderId="12" xfId="1" applyFont="1" applyFill="1" applyBorder="1" applyAlignment="1" applyProtection="1">
      <alignment horizontal="center" vertical="center"/>
      <protection locked="0"/>
    </xf>
    <xf numFmtId="0" fontId="28" fillId="2" borderId="51" xfId="1" applyFont="1" applyFill="1" applyBorder="1" applyAlignment="1" applyProtection="1">
      <alignment horizontal="center" vertical="center"/>
      <protection locked="0"/>
    </xf>
    <xf numFmtId="0" fontId="27" fillId="38" borderId="22" xfId="1" applyFont="1" applyFill="1" applyBorder="1" applyAlignment="1" applyProtection="1">
      <alignment horizontal="center" vertical="center"/>
      <protection locked="0"/>
    </xf>
    <xf numFmtId="0" fontId="27" fillId="38" borderId="25" xfId="1" applyFont="1" applyFill="1" applyBorder="1" applyAlignment="1" applyProtection="1">
      <alignment horizontal="center" vertical="center"/>
      <protection locked="0"/>
    </xf>
    <xf numFmtId="0" fontId="27" fillId="37" borderId="22" xfId="1" applyFont="1" applyFill="1" applyBorder="1" applyAlignment="1" applyProtection="1">
      <alignment horizontal="center" vertical="center"/>
      <protection locked="0"/>
    </xf>
    <xf numFmtId="0" fontId="27" fillId="37" borderId="21" xfId="1" applyFont="1" applyFill="1" applyBorder="1" applyAlignment="1" applyProtection="1">
      <alignment horizontal="center" vertical="center"/>
      <protection locked="0"/>
    </xf>
    <xf numFmtId="0" fontId="34" fillId="2" borderId="10" xfId="1" applyFont="1" applyFill="1" applyBorder="1" applyAlignment="1" applyProtection="1">
      <alignment horizontal="center" vertical="center" wrapText="1"/>
      <protection locked="0"/>
    </xf>
    <xf numFmtId="0" fontId="34" fillId="2" borderId="22" xfId="1" applyFont="1" applyFill="1" applyBorder="1" applyAlignment="1" applyProtection="1">
      <alignment horizontal="center" vertical="center" wrapText="1"/>
      <protection locked="0"/>
    </xf>
    <xf numFmtId="0" fontId="34" fillId="2" borderId="10" xfId="1" applyFont="1" applyFill="1" applyBorder="1" applyAlignment="1" applyProtection="1">
      <alignment horizontal="center" vertical="center"/>
      <protection locked="0"/>
    </xf>
    <xf numFmtId="0" fontId="34" fillId="2" borderId="22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3" xfId="45" xr:uid="{00000000-0005-0000-0000-000025000000}"/>
    <cellStyle name="Nota" xfId="16" builtinId="10" customBuiltin="1"/>
    <cellStyle name="Porcentagem" xfId="44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5"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D-4021-A539-E78E62CA115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C0D-4021-A539-E78E62CA115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C0D-4021-A539-E78E62CA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1-4B6F-8CAD-2D45235C42C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71-4B6F-8CAD-2D45235C42C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271-4B6F-8CAD-2D45235C4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5-4E1F-8BFB-50ED9CC4680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85-4E1F-8BFB-50ED9CC4680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85-4E1F-8BFB-50ED9CC46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8-4C45-B913-69CF082CE84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DF8-4C45-B913-69CF082CE84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DF8-4C45-B913-69CF082C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'5'!$H$28:$H$37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'5'!$I$28:$I$37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B-4872-8FEC-F17BEFD431AA}"/>
            </c:ext>
          </c:extLst>
        </c:ser>
        <c:ser>
          <c:idx val="1"/>
          <c:order val="1"/>
          <c:tx>
            <c:strRef>
              <c:f>'5'!$M$7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9B-4872-8FEC-F17BEFD431AA}"/>
            </c:ext>
          </c:extLst>
        </c:ser>
        <c:ser>
          <c:idx val="2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B-4872-8FEC-F17BEFD431AA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B-4872-8FEC-F17BEFD43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A-4AEC-ACA1-F2AE53E9C055}"/>
            </c:ext>
          </c:extLst>
        </c:ser>
        <c:ser>
          <c:idx val="0"/>
          <c:order val="1"/>
          <c:tx>
            <c:strRef>
              <c:f>'5'!$M$27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'5'!$M$28:$M$42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A-4AEC-ACA1-F2AE53E9C055}"/>
            </c:ext>
          </c:extLst>
        </c:ser>
        <c:ser>
          <c:idx val="4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A-4AEC-ACA1-F2AE53E9C055}"/>
            </c:ext>
          </c:extLst>
        </c:ser>
        <c:ser>
          <c:idx val="3"/>
          <c:order val="3"/>
          <c:tx>
            <c:strRef>
              <c:f>'5'!$O$27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'5'!$O$28:$O$42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9A-4AEC-ACA1-F2AE53E9C055}"/>
            </c:ext>
          </c:extLst>
        </c:ser>
        <c:ser>
          <c:idx val="1"/>
          <c:order val="4"/>
          <c:tx>
            <c:strRef>
              <c:f>'5'!$M$12:$M$13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9A-4AEC-ACA1-F2AE53E9C055}"/>
            </c:ext>
          </c:extLst>
        </c:ser>
        <c:ser>
          <c:idx val="5"/>
          <c:order val="5"/>
          <c:tx>
            <c:strRef>
              <c:f>'5'!$Q$27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9A-4AEC-ACA1-F2AE53E9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7-4627-BD43-2958424F5FA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837-4627-BD43-2958424F5FA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837-4627-BD43-2958424F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4-4699-B1F8-CBEF13421D3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214-4699-B1F8-CBEF13421D3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214-4699-B1F8-CBEF1342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'7'!$H$28:$H$37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'7'!$I$28:$I$37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8-4DBA-9A04-B9E624105469}"/>
            </c:ext>
          </c:extLst>
        </c:ser>
        <c:ser>
          <c:idx val="1"/>
          <c:order val="1"/>
          <c:tx>
            <c:strRef>
              <c:f>'7'!$M$7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8-4DBA-9A04-B9E624105469}"/>
            </c:ext>
          </c:extLst>
        </c:ser>
        <c:ser>
          <c:idx val="2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8-4DBA-9A04-B9E62410546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8-4DBA-9A04-B9E62410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0-4BA5-B119-687DF768810D}"/>
            </c:ext>
          </c:extLst>
        </c:ser>
        <c:ser>
          <c:idx val="0"/>
          <c:order val="1"/>
          <c:tx>
            <c:strRef>
              <c:f>'7'!$M$27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'7'!$M$28:$M$42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60-4BA5-B119-687DF768810D}"/>
            </c:ext>
          </c:extLst>
        </c:ser>
        <c:ser>
          <c:idx val="4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60-4BA5-B119-687DF768810D}"/>
            </c:ext>
          </c:extLst>
        </c:ser>
        <c:ser>
          <c:idx val="3"/>
          <c:order val="3"/>
          <c:tx>
            <c:strRef>
              <c:f>'7'!$O$27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'7'!$O$28:$O$42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60-4BA5-B119-687DF768810D}"/>
            </c:ext>
          </c:extLst>
        </c:ser>
        <c:ser>
          <c:idx val="1"/>
          <c:order val="4"/>
          <c:tx>
            <c:strRef>
              <c:f>'7'!$M$12:$M$13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60-4BA5-B119-687DF768810D}"/>
            </c:ext>
          </c:extLst>
        </c:ser>
        <c:ser>
          <c:idx val="5"/>
          <c:order val="5"/>
          <c:tx>
            <c:strRef>
              <c:f>'7'!$Q$27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60-4BA5-B119-687DF7688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B-457E-8978-2E86D15F8D0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4B-457E-8978-2E86D15F8D0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14B-457E-8978-2E86D15F8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E-493A-953F-1C40FFC5475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FE-493A-953F-1C40FFC5475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FE-493A-953F-1C40FFC5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'8'!$H$28:$H$37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'8'!$I$28:$I$37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7-4A28-9C46-FA40CC4A9577}"/>
            </c:ext>
          </c:extLst>
        </c:ser>
        <c:ser>
          <c:idx val="1"/>
          <c:order val="1"/>
          <c:tx>
            <c:strRef>
              <c:f>'8'!$M$7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E7-4A28-9C46-FA40CC4A9577}"/>
            </c:ext>
          </c:extLst>
        </c:ser>
        <c:ser>
          <c:idx val="2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E7-4A28-9C46-FA40CC4A957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E7-4A28-9C46-FA40CC4A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6-4EB5-A411-EABFB2E774B5}"/>
            </c:ext>
          </c:extLst>
        </c:ser>
        <c:ser>
          <c:idx val="0"/>
          <c:order val="1"/>
          <c:tx>
            <c:strRef>
              <c:f>'8'!$M$27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'8'!$M$28:$M$42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6-4EB5-A411-EABFB2E774B5}"/>
            </c:ext>
          </c:extLst>
        </c:ser>
        <c:ser>
          <c:idx val="4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56-4EB5-A411-EABFB2E774B5}"/>
            </c:ext>
          </c:extLst>
        </c:ser>
        <c:ser>
          <c:idx val="3"/>
          <c:order val="3"/>
          <c:tx>
            <c:strRef>
              <c:f>'8'!$O$27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'8'!$O$28:$O$42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6-4EB5-A411-EABFB2E774B5}"/>
            </c:ext>
          </c:extLst>
        </c:ser>
        <c:ser>
          <c:idx val="1"/>
          <c:order val="4"/>
          <c:tx>
            <c:strRef>
              <c:f>'8'!$M$12:$M$13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56-4EB5-A411-EABFB2E774B5}"/>
            </c:ext>
          </c:extLst>
        </c:ser>
        <c:ser>
          <c:idx val="5"/>
          <c:order val="5"/>
          <c:tx>
            <c:strRef>
              <c:f>'8'!$Q$27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56-4EB5-A411-EABFB2E7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F9-4430-A5FB-9D0130FF962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0F9-4430-A5FB-9D0130FF962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0F9-4430-A5FB-9D0130FF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7-43E4-87EA-D2557CC04F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407-43E4-87EA-D2557CC04F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407-43E4-87EA-D2557CC0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'9'!$H$28:$H$37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'9'!$I$28:$I$37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2-45C4-B686-38F9109090E9}"/>
            </c:ext>
          </c:extLst>
        </c:ser>
        <c:ser>
          <c:idx val="1"/>
          <c:order val="1"/>
          <c:tx>
            <c:strRef>
              <c:f>'9'!$M$7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2-45C4-B686-38F9109090E9}"/>
            </c:ext>
          </c:extLst>
        </c:ser>
        <c:ser>
          <c:idx val="2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2-45C4-B686-38F9109090E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2-45C4-B686-38F910909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C-4E9D-84C2-74994FBB367B}"/>
            </c:ext>
          </c:extLst>
        </c:ser>
        <c:ser>
          <c:idx val="0"/>
          <c:order val="1"/>
          <c:tx>
            <c:strRef>
              <c:f>'9'!$M$27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'9'!$M$28:$M$42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EC-4E9D-84C2-74994FBB367B}"/>
            </c:ext>
          </c:extLst>
        </c:ser>
        <c:ser>
          <c:idx val="4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EC-4E9D-84C2-74994FBB367B}"/>
            </c:ext>
          </c:extLst>
        </c:ser>
        <c:ser>
          <c:idx val="3"/>
          <c:order val="3"/>
          <c:tx>
            <c:strRef>
              <c:f>'9'!$O$27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'9'!$O$28:$O$42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EC-4E9D-84C2-74994FBB367B}"/>
            </c:ext>
          </c:extLst>
        </c:ser>
        <c:ser>
          <c:idx val="1"/>
          <c:order val="4"/>
          <c:tx>
            <c:strRef>
              <c:f>'9'!$M$12:$M$13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EC-4E9D-84C2-74994FBB367B}"/>
            </c:ext>
          </c:extLst>
        </c:ser>
        <c:ser>
          <c:idx val="5"/>
          <c:order val="5"/>
          <c:tx>
            <c:strRef>
              <c:f>'9'!$Q$27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EC-4E9D-84C2-74994FBB3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3-47B6-A405-13B58352147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663-47B6-A405-13B58352147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663-47B6-A405-13B58352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3-43C2-9F42-504780EBA41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F03-43C2-9F42-504780EBA41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F03-43C2-9F42-504780EBA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'11'!$I$28:$I$37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9-4323-8AE8-5FB4A81E0537}"/>
            </c:ext>
          </c:extLst>
        </c:ser>
        <c:ser>
          <c:idx val="1"/>
          <c:order val="1"/>
          <c:tx>
            <c:strRef>
              <c:f>'11'!$M$7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89-4323-8AE8-5FB4A81E0537}"/>
            </c:ext>
          </c:extLst>
        </c:ser>
        <c:ser>
          <c:idx val="2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89-4323-8AE8-5FB4A81E053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89-4323-8AE8-5FB4A81E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A-400D-B8F3-71C5FC6C036C}"/>
            </c:ext>
          </c:extLst>
        </c:ser>
        <c:ser>
          <c:idx val="0"/>
          <c:order val="1"/>
          <c:tx>
            <c:strRef>
              <c:f>'11'!$M$27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'11'!$M$28:$M$42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A-400D-B8F3-71C5FC6C036C}"/>
            </c:ext>
          </c:extLst>
        </c:ser>
        <c:ser>
          <c:idx val="4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A-400D-B8F3-71C5FC6C036C}"/>
            </c:ext>
          </c:extLst>
        </c:ser>
        <c:ser>
          <c:idx val="3"/>
          <c:order val="3"/>
          <c:tx>
            <c:strRef>
              <c:f>'11'!$O$27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A-400D-B8F3-71C5FC6C036C}"/>
            </c:ext>
          </c:extLst>
        </c:ser>
        <c:ser>
          <c:idx val="1"/>
          <c:order val="4"/>
          <c:tx>
            <c:strRef>
              <c:f>'11'!$M$12:$M$13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7A-400D-B8F3-71C5FC6C036C}"/>
            </c:ext>
          </c:extLst>
        </c:ser>
        <c:ser>
          <c:idx val="5"/>
          <c:order val="5"/>
          <c:tx>
            <c:strRef>
              <c:f>'11'!$Q$27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'11'!$R$28:$R$42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7A-400D-B8F3-71C5FC6C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B-40E9-837E-86000DA32C2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9B-40E9-837E-86000DA32C2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9B-40E9-837E-86000DA3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C-4AA3-BABA-0C051CCDD4A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43C-4AA3-BABA-0C051CCDD4A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43C-4AA3-BABA-0C051CCD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image" Target="../media/image4.png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4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image" Target="../media/image4.png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image" Target="../media/image2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34118ED-91DD-4CCE-9296-8F1B1D817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1B90F28-3B74-4CDF-94CC-B71F97788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45</xdr:row>
      <xdr:rowOff>14967</xdr:rowOff>
    </xdr:from>
    <xdr:to>
      <xdr:col>8</xdr:col>
      <xdr:colOff>631092</xdr:colOff>
      <xdr:row>45</xdr:row>
      <xdr:rowOff>172302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BA928B3D-8F8F-4B7A-AAA6-3535DBAB6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1F4F9D4B-A6EB-4CB8-B9BD-97365F911A62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104775</xdr:rowOff>
    </xdr:from>
    <xdr:to>
      <xdr:col>0</xdr:col>
      <xdr:colOff>1227375</xdr:colOff>
      <xdr:row>1</xdr:row>
      <xdr:rowOff>283853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E490434-469B-4654-8DAF-027B3291F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11</xdr:col>
      <xdr:colOff>132495</xdr:colOff>
      <xdr:row>36</xdr:row>
      <xdr:rowOff>114048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5"/>
          <a:ext cx="6838095" cy="20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D375773-F942-4E5E-9432-D270BF881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6D0E31D-5D02-4D9B-92A6-7DB1F7FA8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AE8634-8D5F-417F-9052-8B3F929E4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1D186E9-F1B5-422C-8194-6DDF12F43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37E973C4-52DB-45C3-9B70-44007BDF4294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26A80FC-B992-4782-9254-989F3191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17406BE-2D1B-424A-85BD-8FBCD3914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0084548-73DA-477E-A835-2683E7C4F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26B94-BB18-45A0-87AF-57EA98AA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8DF5BE0-5594-42A6-B9B4-1A3468686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5C9E6D88-9E18-4EB5-8DB8-E127572CC33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2138E07-0DCC-4B49-92EB-E7E1914D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B1CDA68-7ED6-492E-B037-9590C3C4F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3AB9712-1C43-460C-8ECD-DB7A9E1F8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7117E-E216-45F0-9CCE-CD910F210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72978DE-02C6-4CC4-966D-3745BFA3D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2DC57DB-D0FC-4CEB-B3DA-3C3D23FDE9E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5142844-BE41-48A7-BFE2-493A8BC9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7CCFE09-DA4C-4B82-B323-D4DB7DCF4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A9EB3C7-8188-487E-959B-7C0D46FB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A68440-C570-4C73-87E8-F306C3C35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8828CFB-E402-4A15-BF55-EFF232EAA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8C83186-8037-458E-A402-D97D4D1B43DB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30248DF-5D2A-407B-A2AF-3A80A83E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5239C1C-D5CB-4CC4-85C6-D6FC0B5BE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D5A624F-E329-4232-B010-B48753577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0CF881-63EA-42AE-A857-3972F7130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DB84063-0F60-47B6-8CA8-8AAE7C9D9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7E40878A-E691-4468-85DB-45BAF0318E61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7A27938-DD8F-4F69-9C18-8BDA8FB2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1AC6C0D-D0F7-4722-BFF9-4B830346D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9AC82F7-904B-43B4-AD41-1451DD815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0</xdr:row>
      <xdr:rowOff>0</xdr:rowOff>
    </xdr:from>
    <xdr:to>
      <xdr:col>8</xdr:col>
      <xdr:colOff>631092</xdr:colOff>
      <xdr:row>0</xdr:row>
      <xdr:rowOff>157335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6D69130C-79B3-4F65-AF44-547F5BAC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0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58807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B5209AA7-1E0B-4974-98F7-711A84E62E6E}"/>
            </a:ext>
          </a:extLst>
        </xdr:cNvPr>
        <xdr:cNvSpPr>
          <a:spLocks noChangeAspect="1" noChangeArrowheads="1"/>
        </xdr:cNvSpPr>
      </xdr:nvSpPr>
      <xdr:spPr bwMode="auto">
        <a:xfrm>
          <a:off x="0" y="7258050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A31A-6D50-4CE7-809A-51BAEE850443}">
  <sheetPr>
    <tabColor rgb="FFFFFF00"/>
  </sheetPr>
  <dimension ref="A1:U47"/>
  <sheetViews>
    <sheetView showGridLines="0" view="pageBreakPreview" topLeftCell="A35" zoomScaleNormal="115" zoomScaleSheetLayoutView="100" workbookViewId="0">
      <selection activeCell="C44" sqref="C4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15" ht="15" customHeight="1" x14ac:dyDescent="0.25">
      <c r="A1" s="172"/>
      <c r="B1" s="174" t="s">
        <v>94</v>
      </c>
      <c r="C1" s="175"/>
      <c r="D1" s="175"/>
      <c r="E1" s="175"/>
      <c r="F1" s="175"/>
      <c r="G1" s="176"/>
      <c r="H1" s="180" t="s">
        <v>87</v>
      </c>
      <c r="I1" s="181"/>
      <c r="J1" s="6"/>
      <c r="K1" s="6"/>
    </row>
    <row r="2" spans="1:15" ht="27" customHeight="1" thickBot="1" x14ac:dyDescent="0.3">
      <c r="A2" s="173"/>
      <c r="B2" s="177"/>
      <c r="C2" s="178"/>
      <c r="D2" s="178"/>
      <c r="E2" s="178"/>
      <c r="F2" s="178"/>
      <c r="G2" s="179"/>
      <c r="H2" s="182"/>
      <c r="I2" s="183"/>
      <c r="J2" s="6"/>
      <c r="K2" s="6"/>
    </row>
    <row r="3" spans="1:15" ht="15" customHeight="1" thickBot="1" x14ac:dyDescent="0.3">
      <c r="A3" s="184" t="s">
        <v>86</v>
      </c>
      <c r="B3" s="185"/>
      <c r="C3" s="185"/>
      <c r="D3" s="185"/>
      <c r="E3" s="185"/>
      <c r="F3" s="185"/>
      <c r="G3" s="185"/>
      <c r="H3" s="185"/>
      <c r="I3" s="186"/>
      <c r="J3" s="6"/>
      <c r="K3" s="6"/>
    </row>
    <row r="4" spans="1:15" s="6" customFormat="1" ht="33" hidden="1" customHeight="1" thickBot="1" x14ac:dyDescent="0.3">
      <c r="A4" s="90"/>
      <c r="B4" s="90"/>
      <c r="C4" s="90"/>
      <c r="D4" s="90"/>
      <c r="E4" s="90"/>
      <c r="F4" s="90"/>
      <c r="G4" s="90"/>
      <c r="H4" s="90"/>
      <c r="I4" s="90"/>
    </row>
    <row r="5" spans="1:15" s="6" customFormat="1" ht="21.6" customHeight="1" x14ac:dyDescent="0.25">
      <c r="A5" s="71" t="s">
        <v>51</v>
      </c>
      <c r="B5" s="149" t="s">
        <v>146</v>
      </c>
      <c r="C5" s="47"/>
      <c r="D5" s="46"/>
      <c r="E5" s="46"/>
      <c r="F5" s="46"/>
      <c r="G5" s="46"/>
      <c r="H5" s="46"/>
      <c r="I5" s="46"/>
    </row>
    <row r="6" spans="1:15" s="46" customFormat="1" ht="21.6" customHeight="1" x14ac:dyDescent="0.25">
      <c r="A6" s="71" t="s">
        <v>65</v>
      </c>
      <c r="B6" s="47" t="s">
        <v>145</v>
      </c>
      <c r="C6" s="48"/>
      <c r="D6" s="48"/>
      <c r="E6" s="48"/>
      <c r="F6" s="48"/>
      <c r="G6" s="49"/>
      <c r="H6" s="49" t="s">
        <v>44</v>
      </c>
      <c r="I6" s="150">
        <v>45826</v>
      </c>
    </row>
    <row r="7" spans="1:15" s="46" customFormat="1" ht="4.5" customHeight="1" x14ac:dyDescent="0.25">
      <c r="A7" s="50"/>
      <c r="B7" s="51"/>
      <c r="C7" s="52"/>
      <c r="D7" s="51"/>
      <c r="E7" s="51"/>
      <c r="F7" s="53"/>
      <c r="G7" s="53"/>
      <c r="H7" s="53"/>
      <c r="I7" s="54"/>
    </row>
    <row r="8" spans="1:15" s="8" customFormat="1" ht="19.899999999999999" customHeight="1" x14ac:dyDescent="0.25">
      <c r="A8" s="55" t="s">
        <v>13</v>
      </c>
      <c r="B8" s="55"/>
      <c r="C8" s="55"/>
      <c r="D8" s="55"/>
      <c r="E8" s="55"/>
      <c r="F8" s="55"/>
      <c r="G8" s="55"/>
      <c r="H8" s="55"/>
      <c r="I8" s="55"/>
    </row>
    <row r="9" spans="1:15" s="24" customFormat="1" ht="15.75" customHeight="1" x14ac:dyDescent="0.25">
      <c r="A9" s="72" t="s">
        <v>45</v>
      </c>
      <c r="C9" s="151" t="s">
        <v>95</v>
      </c>
      <c r="D9" s="56"/>
      <c r="E9" s="57"/>
      <c r="F9" s="57"/>
      <c r="G9" s="57"/>
      <c r="H9" s="57"/>
      <c r="I9" s="57"/>
    </row>
    <row r="10" spans="1:15" s="6" customFormat="1" ht="15.75" customHeight="1" x14ac:dyDescent="0.25">
      <c r="A10" s="2" t="s">
        <v>25</v>
      </c>
      <c r="C10" s="151" t="s">
        <v>96</v>
      </c>
      <c r="D10" s="5"/>
      <c r="F10" s="25"/>
      <c r="G10" s="25"/>
      <c r="H10" s="25"/>
      <c r="I10" s="25"/>
    </row>
    <row r="11" spans="1:15" s="6" customFormat="1" ht="4.5" customHeight="1" x14ac:dyDescent="0.25">
      <c r="B11" s="5"/>
      <c r="C11" s="5"/>
      <c r="D11" s="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s="6" customFormat="1" ht="18" x14ac:dyDescent="0.25">
      <c r="A12" s="55" t="s">
        <v>52</v>
      </c>
      <c r="B12" s="55"/>
      <c r="C12" s="55"/>
      <c r="D12" s="55"/>
      <c r="E12" s="55"/>
      <c r="F12" s="55"/>
      <c r="G12" s="55"/>
      <c r="H12" s="55"/>
      <c r="I12" s="55"/>
    </row>
    <row r="13" spans="1:15" s="6" customFormat="1" ht="18.75" x14ac:dyDescent="0.25">
      <c r="A13" s="72" t="s">
        <v>45</v>
      </c>
      <c r="C13" s="24" t="s">
        <v>24</v>
      </c>
      <c r="G13" s="59"/>
      <c r="H13" s="60"/>
    </row>
    <row r="14" spans="1:15" s="6" customFormat="1" ht="18.75" x14ac:dyDescent="0.25">
      <c r="A14" s="2" t="s">
        <v>25</v>
      </c>
      <c r="C14" s="6" t="s">
        <v>113</v>
      </c>
      <c r="G14" s="59"/>
      <c r="H14" s="60"/>
    </row>
    <row r="15" spans="1:15" s="24" customFormat="1" ht="15.75" x14ac:dyDescent="0.2">
      <c r="A15" s="2" t="s">
        <v>46</v>
      </c>
      <c r="C15" s="6" t="s">
        <v>79</v>
      </c>
    </row>
    <row r="16" spans="1:15" s="6" customFormat="1" ht="4.5" customHeight="1" x14ac:dyDescent="0.25">
      <c r="B16" s="5"/>
      <c r="C16" s="5"/>
      <c r="D16" s="5"/>
      <c r="E16" s="25"/>
      <c r="F16" s="25"/>
      <c r="G16" s="25"/>
      <c r="H16" s="25"/>
      <c r="I16" s="25"/>
    </row>
    <row r="17" spans="1:9" s="8" customFormat="1" ht="18" x14ac:dyDescent="0.25">
      <c r="A17" s="55" t="s">
        <v>16</v>
      </c>
      <c r="B17" s="55"/>
      <c r="C17" s="55"/>
      <c r="D17" s="55"/>
      <c r="E17" s="55"/>
      <c r="F17" s="55"/>
      <c r="G17" s="55"/>
      <c r="H17" s="55"/>
      <c r="I17" s="55"/>
    </row>
    <row r="18" spans="1:9" s="6" customFormat="1" ht="15.75" x14ac:dyDescent="0.25">
      <c r="A18" s="2" t="s">
        <v>14</v>
      </c>
      <c r="C18" s="88" t="s">
        <v>97</v>
      </c>
      <c r="D18" s="88"/>
      <c r="E18" s="58"/>
    </row>
    <row r="19" spans="1:9" s="6" customFormat="1" ht="15.75" x14ac:dyDescent="0.25">
      <c r="A19" s="2" t="s">
        <v>15</v>
      </c>
      <c r="C19" s="152" t="s">
        <v>98</v>
      </c>
      <c r="D19" s="61"/>
      <c r="E19" s="58"/>
    </row>
    <row r="20" spans="1:9" s="6" customFormat="1" ht="15.75" x14ac:dyDescent="0.25">
      <c r="A20" s="2" t="s">
        <v>53</v>
      </c>
      <c r="C20" s="152">
        <v>17.5</v>
      </c>
      <c r="D20" s="61"/>
      <c r="E20" s="58"/>
    </row>
    <row r="21" spans="1:9" s="6" customFormat="1" ht="15.75" x14ac:dyDescent="0.25">
      <c r="A21" s="2" t="s">
        <v>54</v>
      </c>
      <c r="C21" s="152" t="s">
        <v>99</v>
      </c>
      <c r="D21" s="61"/>
      <c r="E21" s="58"/>
    </row>
    <row r="22" spans="1:9" s="6" customFormat="1" ht="15.75" x14ac:dyDescent="0.25">
      <c r="A22" s="2" t="s">
        <v>68</v>
      </c>
      <c r="C22" s="153" t="s">
        <v>147</v>
      </c>
      <c r="D22" s="73"/>
      <c r="E22" s="58"/>
    </row>
    <row r="23" spans="1:9" s="6" customFormat="1" ht="15.75" x14ac:dyDescent="0.25">
      <c r="A23" s="2" t="s">
        <v>69</v>
      </c>
      <c r="C23" s="153" t="s">
        <v>100</v>
      </c>
      <c r="D23" s="61"/>
      <c r="E23" s="58"/>
    </row>
    <row r="24" spans="1:9" s="6" customFormat="1" ht="15.75" x14ac:dyDescent="0.25">
      <c r="A24" s="2" t="s">
        <v>76</v>
      </c>
      <c r="C24" s="153" t="s">
        <v>101</v>
      </c>
      <c r="D24" s="61"/>
      <c r="E24" s="58"/>
    </row>
    <row r="25" spans="1:9" s="6" customFormat="1" ht="15" customHeight="1" x14ac:dyDescent="0.25">
      <c r="A25" s="2" t="s">
        <v>77</v>
      </c>
      <c r="C25" s="61">
        <v>5</v>
      </c>
    </row>
    <row r="26" spans="1:9" s="6" customFormat="1" ht="15" x14ac:dyDescent="0.25"/>
    <row r="27" spans="1:9" s="6" customFormat="1" ht="15.75" x14ac:dyDescent="0.25">
      <c r="A27" s="2" t="s">
        <v>102</v>
      </c>
      <c r="C27" s="88" t="s">
        <v>103</v>
      </c>
      <c r="E27" s="88"/>
      <c r="F27" s="89"/>
      <c r="G27" s="4"/>
      <c r="H27" s="4"/>
      <c r="I27" s="4"/>
    </row>
    <row r="28" spans="1:9" s="6" customFormat="1" ht="15.75" x14ac:dyDescent="0.25">
      <c r="A28" s="2"/>
      <c r="C28" s="88" t="s">
        <v>104</v>
      </c>
      <c r="E28" s="88"/>
      <c r="F28" s="89"/>
      <c r="G28" s="4"/>
      <c r="H28" s="4"/>
      <c r="I28" s="4"/>
    </row>
    <row r="29" spans="1:9" s="6" customFormat="1" ht="15.75" x14ac:dyDescent="0.25">
      <c r="A29" s="2"/>
      <c r="C29" s="58"/>
      <c r="E29" s="58"/>
      <c r="F29" s="4"/>
      <c r="G29" s="4"/>
      <c r="H29" s="4"/>
      <c r="I29" s="4"/>
    </row>
    <row r="30" spans="1:9" s="6" customFormat="1" ht="15.75" x14ac:dyDescent="0.25">
      <c r="A30" s="2" t="s">
        <v>55</v>
      </c>
      <c r="C30" s="58" t="s">
        <v>85</v>
      </c>
      <c r="E30" s="58"/>
      <c r="F30" s="4"/>
      <c r="G30" s="4"/>
      <c r="H30" s="4"/>
      <c r="I30" s="4"/>
    </row>
    <row r="31" spans="1:9" s="6" customFormat="1" ht="15" x14ac:dyDescent="0.25">
      <c r="C31" s="70" t="s">
        <v>82</v>
      </c>
      <c r="D31" s="58" t="s">
        <v>78</v>
      </c>
      <c r="F31" s="4"/>
      <c r="G31" s="4"/>
      <c r="H31" s="4"/>
      <c r="I31" s="4"/>
    </row>
    <row r="32" spans="1:9" s="6" customFormat="1" ht="15" x14ac:dyDescent="0.25">
      <c r="C32" s="70"/>
      <c r="D32" s="58"/>
      <c r="F32" s="4"/>
      <c r="G32" s="4"/>
      <c r="H32" s="4"/>
      <c r="I32" s="4"/>
    </row>
    <row r="33" spans="1:21" s="8" customFormat="1" ht="19.899999999999999" customHeight="1" x14ac:dyDescent="0.25">
      <c r="A33" s="55" t="s">
        <v>21</v>
      </c>
      <c r="B33" s="55"/>
      <c r="C33" s="55"/>
      <c r="D33" s="55"/>
      <c r="E33" s="55"/>
      <c r="F33" s="55"/>
      <c r="G33" s="55"/>
      <c r="H33" s="55"/>
      <c r="I33" s="55"/>
    </row>
    <row r="34" spans="1:21" s="6" customFormat="1" ht="25.5" customHeight="1" x14ac:dyDescent="0.25">
      <c r="A34" s="2" t="s">
        <v>27</v>
      </c>
      <c r="C34" s="2"/>
      <c r="D34" s="2"/>
      <c r="E34" s="2"/>
      <c r="F34" s="2"/>
      <c r="G34" s="2"/>
      <c r="H34" s="2"/>
      <c r="I34" s="2"/>
    </row>
    <row r="35" spans="1:21" s="6" customFormat="1" ht="51" customHeight="1" x14ac:dyDescent="0.25">
      <c r="A35" s="169" t="s">
        <v>83</v>
      </c>
      <c r="B35" s="169"/>
      <c r="C35" s="169"/>
      <c r="D35" s="169"/>
      <c r="E35" s="169"/>
      <c r="F35" s="169"/>
      <c r="G35" s="169"/>
      <c r="H35" s="169"/>
      <c r="I35" s="169"/>
    </row>
    <row r="36" spans="1:21" s="6" customFormat="1" ht="15.75" x14ac:dyDescent="0.25">
      <c r="A36" s="2" t="s">
        <v>28</v>
      </c>
      <c r="C36" s="2"/>
      <c r="D36" s="2"/>
      <c r="E36" s="2"/>
      <c r="F36" s="2"/>
      <c r="G36" s="2"/>
      <c r="H36" s="2"/>
      <c r="I36" s="2"/>
    </row>
    <row r="37" spans="1:21" s="6" customFormat="1" ht="96.75" customHeight="1" x14ac:dyDescent="0.25">
      <c r="A37" s="169" t="s">
        <v>112</v>
      </c>
      <c r="B37" s="169"/>
      <c r="C37" s="169"/>
      <c r="D37" s="169"/>
      <c r="E37" s="169"/>
      <c r="F37" s="169"/>
      <c r="G37" s="169"/>
      <c r="H37" s="169"/>
      <c r="I37" s="169"/>
    </row>
    <row r="38" spans="1:21" s="8" customFormat="1" ht="19.899999999999999" customHeight="1" x14ac:dyDescent="0.25">
      <c r="A38" s="55" t="s">
        <v>58</v>
      </c>
      <c r="B38" s="55"/>
      <c r="C38" s="55"/>
      <c r="D38" s="55"/>
      <c r="E38" s="55"/>
      <c r="F38" s="55"/>
      <c r="G38" s="55"/>
      <c r="H38" s="55"/>
      <c r="I38" s="55"/>
    </row>
    <row r="39" spans="1:21" s="62" customFormat="1" ht="4.9000000000000004" customHeight="1" x14ac:dyDescent="0.2">
      <c r="B39" s="6"/>
      <c r="C39" s="6"/>
      <c r="D39" s="6"/>
      <c r="E39" s="6"/>
      <c r="F39" s="6"/>
      <c r="G39" s="6"/>
      <c r="H39" s="6"/>
      <c r="I39" s="6"/>
    </row>
    <row r="40" spans="1:21" s="24" customFormat="1" ht="44.45" customHeight="1" x14ac:dyDescent="0.2">
      <c r="A40" s="170" t="s">
        <v>59</v>
      </c>
      <c r="B40" s="171"/>
      <c r="C40" s="26" t="s">
        <v>60</v>
      </c>
      <c r="D40" s="63" t="s">
        <v>1</v>
      </c>
      <c r="E40" s="26" t="s">
        <v>0</v>
      </c>
      <c r="F40" s="26" t="s">
        <v>61</v>
      </c>
      <c r="G40" s="26" t="s">
        <v>62</v>
      </c>
      <c r="H40" s="26" t="s">
        <v>2</v>
      </c>
    </row>
    <row r="41" spans="1:21" s="24" customFormat="1" ht="21" customHeight="1" x14ac:dyDescent="0.2">
      <c r="A41" s="82" t="s">
        <v>71</v>
      </c>
      <c r="B41" s="83"/>
      <c r="C41" s="77" t="s">
        <v>148</v>
      </c>
      <c r="D41" s="77" t="s">
        <v>149</v>
      </c>
      <c r="E41" s="78">
        <v>160869</v>
      </c>
      <c r="F41" s="79">
        <v>45629</v>
      </c>
      <c r="G41" s="80">
        <v>45994</v>
      </c>
      <c r="H41" s="79" t="s">
        <v>110</v>
      </c>
      <c r="I41" s="11"/>
    </row>
    <row r="42" spans="1:21" s="24" customFormat="1" ht="21" customHeight="1" x14ac:dyDescent="0.2">
      <c r="A42" s="82" t="s">
        <v>81</v>
      </c>
      <c r="B42" s="84"/>
      <c r="C42" s="77" t="s">
        <v>106</v>
      </c>
      <c r="D42" s="77" t="s">
        <v>107</v>
      </c>
      <c r="E42" s="78">
        <v>170081</v>
      </c>
      <c r="F42" s="79">
        <v>45793</v>
      </c>
      <c r="G42" s="80">
        <v>46157</v>
      </c>
      <c r="H42" s="79" t="s">
        <v>108</v>
      </c>
    </row>
    <row r="43" spans="1:21" s="24" customFormat="1" ht="21" customHeight="1" x14ac:dyDescent="0.2">
      <c r="A43" s="81" t="s">
        <v>72</v>
      </c>
      <c r="B43" s="84"/>
      <c r="C43" s="77" t="s">
        <v>144</v>
      </c>
      <c r="D43" s="77" t="s">
        <v>144</v>
      </c>
      <c r="E43" s="78">
        <v>32225</v>
      </c>
      <c r="F43" s="79">
        <v>44558</v>
      </c>
      <c r="G43" s="80">
        <v>46382</v>
      </c>
      <c r="H43" s="79" t="s">
        <v>109</v>
      </c>
    </row>
    <row r="44" spans="1:21" s="6" customFormat="1" ht="15" x14ac:dyDescent="0.25">
      <c r="C44" s="70"/>
      <c r="D44" s="58"/>
      <c r="F44" s="4"/>
      <c r="G44" s="4"/>
      <c r="H44" s="4"/>
      <c r="I44" s="4"/>
    </row>
    <row r="45" spans="1:21" s="6" customFormat="1" ht="72.599999999999994" customHeight="1" x14ac:dyDescent="0.25">
      <c r="A45" s="168" t="s">
        <v>56</v>
      </c>
      <c r="B45" s="168"/>
      <c r="C45" s="168"/>
      <c r="D45" s="168"/>
      <c r="E45" s="168"/>
      <c r="F45" s="168"/>
      <c r="G45" s="168"/>
      <c r="H45" s="168"/>
      <c r="I45" s="168"/>
    </row>
    <row r="46" spans="1:21" s="6" customFormat="1" ht="15" x14ac:dyDescent="0.25">
      <c r="E46" s="58"/>
      <c r="F46" s="4"/>
      <c r="G46" s="4"/>
      <c r="H46" s="4"/>
      <c r="I46" s="66" t="s">
        <v>57</v>
      </c>
    </row>
    <row r="47" spans="1:21" x14ac:dyDescent="0.25">
      <c r="M47" s="10"/>
      <c r="N47" s="10"/>
      <c r="O47" s="10"/>
      <c r="P47" s="10"/>
      <c r="Q47" s="10"/>
      <c r="R47" s="10"/>
      <c r="S47" s="10"/>
      <c r="T47" s="10"/>
      <c r="U47" s="10"/>
    </row>
  </sheetData>
  <mergeCells count="8">
    <mergeCell ref="A45:I45"/>
    <mergeCell ref="A35:I35"/>
    <mergeCell ref="A37:I37"/>
    <mergeCell ref="A40:B40"/>
    <mergeCell ref="A1:A2"/>
    <mergeCell ref="B1:G2"/>
    <mergeCell ref="H1:I2"/>
    <mergeCell ref="A3:I3"/>
  </mergeCells>
  <dataValidations count="1">
    <dataValidation type="list" allowBlank="1" showInputMessage="1" showErrorMessage="1" sqref="H13:H14" xr:uid="{DAE9CDF6-AC02-431B-9A1D-22549B99C173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F5" sqref="F5"/>
    </sheetView>
  </sheetViews>
  <sheetFormatPr defaultRowHeight="15" x14ac:dyDescent="0.25"/>
  <sheetData>
    <row r="1" spans="1:19" ht="15.6" x14ac:dyDescent="0.3">
      <c r="A1" s="2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204" t="s">
        <v>4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</row>
    <row r="3" spans="1:19" ht="15.6" x14ac:dyDescent="0.3">
      <c r="A3" s="6"/>
      <c r="B3" s="3"/>
      <c r="C3" s="6"/>
      <c r="D3" s="6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6" x14ac:dyDescent="0.3">
      <c r="A4" s="2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169" t="s">
        <v>8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</row>
    <row r="12" spans="1:19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x14ac:dyDescent="0.25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x14ac:dyDescent="0.25">
      <c r="A16" s="2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97.9" customHeight="1" x14ac:dyDescent="0.25">
      <c r="A17" s="205" t="s">
        <v>22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75" x14ac:dyDescent="0.25">
      <c r="A19" s="2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 t="s">
        <v>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205" t="s">
        <v>10</v>
      </c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</row>
    <row r="22" spans="1:19" x14ac:dyDescent="0.25">
      <c r="A22" s="205" t="s">
        <v>11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</row>
    <row r="25" spans="1:19" x14ac:dyDescent="0.25">
      <c r="A25" t="s">
        <v>80</v>
      </c>
    </row>
  </sheetData>
  <mergeCells count="5">
    <mergeCell ref="A2:S2"/>
    <mergeCell ref="A11:S11"/>
    <mergeCell ref="A22:S22"/>
    <mergeCell ref="A17:S17"/>
    <mergeCell ref="A21:S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1DCE-3024-4104-A080-6E46F4E55300}">
  <dimension ref="A1:U43"/>
  <sheetViews>
    <sheetView showGridLines="0" tabSelected="1" view="pageBreakPreview" topLeftCell="A12" zoomScaleNormal="115" zoomScaleSheetLayoutView="10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7" t="s">
        <v>73</v>
      </c>
      <c r="B1" s="187"/>
      <c r="C1" s="187"/>
      <c r="D1" s="187"/>
      <c r="E1" s="187"/>
      <c r="F1" s="187"/>
      <c r="G1" s="187"/>
      <c r="H1" s="187"/>
      <c r="I1" s="187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88" t="s">
        <v>40</v>
      </c>
      <c r="B4" s="189"/>
      <c r="C4" s="190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120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1" t="s">
        <v>88</v>
      </c>
      <c r="N6" s="191">
        <v>-1.5</v>
      </c>
      <c r="O6" s="191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121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2"/>
      <c r="N7" s="192"/>
      <c r="O7" s="192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122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123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196" t="s">
        <v>89</v>
      </c>
      <c r="N9" s="196">
        <v>-0.75</v>
      </c>
      <c r="O9" s="196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124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197"/>
      <c r="N10" s="197"/>
      <c r="O10" s="197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125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126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198" t="s">
        <v>90</v>
      </c>
      <c r="N12" s="198">
        <v>-0.5</v>
      </c>
      <c r="O12" s="198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127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199"/>
      <c r="N13" s="199"/>
      <c r="O13" s="199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128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3" t="s">
        <v>43</v>
      </c>
      <c r="B18" s="194"/>
      <c r="C18" s="195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29.4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7" t="s">
        <v>64</v>
      </c>
      <c r="B25" s="187"/>
      <c r="C25" s="187"/>
      <c r="D25" s="187"/>
      <c r="E25" s="187"/>
      <c r="F25" s="187"/>
      <c r="G25" s="187"/>
      <c r="H25" s="187"/>
      <c r="I25" s="187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0" t="s">
        <v>66</v>
      </c>
      <c r="B26" s="202" t="s">
        <v>84</v>
      </c>
      <c r="C26" s="65" t="s">
        <v>36</v>
      </c>
      <c r="D26" s="43" t="s">
        <v>35</v>
      </c>
      <c r="E26" s="202" t="s">
        <v>34</v>
      </c>
      <c r="F26" s="202"/>
      <c r="G26" s="202" t="s">
        <v>33</v>
      </c>
      <c r="H26" s="202"/>
      <c r="I26" s="202" t="s">
        <v>29</v>
      </c>
    </row>
    <row r="27" spans="1:21" s="10" customFormat="1" ht="13.5" thickBot="1" x14ac:dyDescent="0.3">
      <c r="A27" s="201"/>
      <c r="B27" s="203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203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8" t="s">
        <v>129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0">
        <v>45957</v>
      </c>
      <c r="B29" s="159" t="s">
        <v>129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0">
        <v>45957</v>
      </c>
      <c r="B30" s="159" t="s">
        <v>129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0">
        <v>45957</v>
      </c>
      <c r="B31" s="159" t="s">
        <v>129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4">
        <v>45957</v>
      </c>
      <c r="B32" s="165" t="s">
        <v>129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3">
        <v>45957</v>
      </c>
      <c r="B33" s="123" t="s">
        <v>130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0">
        <v>45957</v>
      </c>
      <c r="B34" s="159" t="s">
        <v>130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0">
        <v>45957</v>
      </c>
      <c r="B35" s="159" t="s">
        <v>130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0">
        <v>45957</v>
      </c>
      <c r="B36" s="159" t="s">
        <v>130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4">
        <v>45957</v>
      </c>
      <c r="B37" s="165" t="s">
        <v>130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3">
        <v>45957</v>
      </c>
      <c r="B38" s="123" t="s">
        <v>131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0">
        <v>45957</v>
      </c>
      <c r="B39" s="159" t="s">
        <v>131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0">
        <v>45957</v>
      </c>
      <c r="B40" s="159" t="s">
        <v>131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0">
        <v>45957</v>
      </c>
      <c r="B41" s="159" t="s">
        <v>131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1">
        <v>45957</v>
      </c>
      <c r="B42" s="162" t="s">
        <v>131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28FE-99BD-4C40-AC2A-34EFC51A9636}">
  <dimension ref="A1:U43"/>
  <sheetViews>
    <sheetView showGridLines="0" view="pageBreakPreview" topLeftCell="A10" zoomScale="90" zoomScaleNormal="115" zoomScaleSheetLayoutView="9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7" t="s">
        <v>73</v>
      </c>
      <c r="B1" s="187"/>
      <c r="C1" s="187"/>
      <c r="D1" s="187"/>
      <c r="E1" s="187"/>
      <c r="F1" s="187"/>
      <c r="G1" s="187"/>
      <c r="H1" s="187"/>
      <c r="I1" s="187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88" t="s">
        <v>40</v>
      </c>
      <c r="B4" s="189"/>
      <c r="C4" s="190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120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1" t="s">
        <v>88</v>
      </c>
      <c r="N6" s="191">
        <v>-1.5</v>
      </c>
      <c r="O6" s="191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121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2"/>
      <c r="N7" s="192"/>
      <c r="O7" s="192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122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123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196" t="s">
        <v>89</v>
      </c>
      <c r="N9" s="196">
        <v>-0.75</v>
      </c>
      <c r="O9" s="196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124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197"/>
      <c r="N10" s="197"/>
      <c r="O10" s="197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125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126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198" t="s">
        <v>90</v>
      </c>
      <c r="N12" s="198">
        <v>-0.5</v>
      </c>
      <c r="O12" s="198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127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199"/>
      <c r="N13" s="199"/>
      <c r="O13" s="199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128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3" t="s">
        <v>43</v>
      </c>
      <c r="B18" s="194"/>
      <c r="C18" s="195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29.7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7" t="s">
        <v>64</v>
      </c>
      <c r="B25" s="187"/>
      <c r="C25" s="187"/>
      <c r="D25" s="187"/>
      <c r="E25" s="187"/>
      <c r="F25" s="187"/>
      <c r="G25" s="187"/>
      <c r="H25" s="187"/>
      <c r="I25" s="187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0" t="s">
        <v>66</v>
      </c>
      <c r="B26" s="202" t="s">
        <v>84</v>
      </c>
      <c r="C26" s="65" t="s">
        <v>36</v>
      </c>
      <c r="D26" s="43" t="s">
        <v>35</v>
      </c>
      <c r="E26" s="202" t="s">
        <v>34</v>
      </c>
      <c r="F26" s="202"/>
      <c r="G26" s="202" t="s">
        <v>33</v>
      </c>
      <c r="H26" s="202"/>
      <c r="I26" s="202" t="s">
        <v>29</v>
      </c>
    </row>
    <row r="27" spans="1:21" s="10" customFormat="1" ht="13.5" thickBot="1" x14ac:dyDescent="0.3">
      <c r="A27" s="201"/>
      <c r="B27" s="203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203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8" t="s">
        <v>132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0">
        <v>45957</v>
      </c>
      <c r="B29" s="159" t="s">
        <v>132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0">
        <v>45957</v>
      </c>
      <c r="B30" s="159" t="s">
        <v>132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0">
        <v>45957</v>
      </c>
      <c r="B31" s="159" t="s">
        <v>132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4">
        <v>45957</v>
      </c>
      <c r="B32" s="165" t="s">
        <v>132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3">
        <v>45957</v>
      </c>
      <c r="B33" s="123" t="s">
        <v>133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0">
        <v>45957</v>
      </c>
      <c r="B34" s="159" t="s">
        <v>133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0">
        <v>45957</v>
      </c>
      <c r="B35" s="159" t="s">
        <v>133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0">
        <v>45957</v>
      </c>
      <c r="B36" s="159" t="s">
        <v>133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4">
        <v>45957</v>
      </c>
      <c r="B37" s="165" t="s">
        <v>133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3">
        <v>45957</v>
      </c>
      <c r="B38" s="123" t="s">
        <v>134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0">
        <v>45957</v>
      </c>
      <c r="B39" s="159" t="s">
        <v>134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0">
        <v>45957</v>
      </c>
      <c r="B40" s="159" t="s">
        <v>134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0">
        <v>45957</v>
      </c>
      <c r="B41" s="159" t="s">
        <v>134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1">
        <v>45957</v>
      </c>
      <c r="B42" s="162" t="s">
        <v>134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49D0-5E96-4B45-BDA8-C069C40A197D}">
  <dimension ref="A1:U43"/>
  <sheetViews>
    <sheetView showGridLines="0" view="pageBreakPreview" topLeftCell="A9" zoomScale="90" zoomScaleNormal="115" zoomScaleSheetLayoutView="9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7" t="s">
        <v>73</v>
      </c>
      <c r="B1" s="187"/>
      <c r="C1" s="187"/>
      <c r="D1" s="187"/>
      <c r="E1" s="187"/>
      <c r="F1" s="187"/>
      <c r="G1" s="187"/>
      <c r="H1" s="187"/>
      <c r="I1" s="187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88" t="s">
        <v>40</v>
      </c>
      <c r="B4" s="189"/>
      <c r="C4" s="190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120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1" t="s">
        <v>88</v>
      </c>
      <c r="N6" s="191">
        <v>-1.5</v>
      </c>
      <c r="O6" s="191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121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2"/>
      <c r="N7" s="192"/>
      <c r="O7" s="192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122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123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196" t="s">
        <v>89</v>
      </c>
      <c r="N9" s="196">
        <v>-0.75</v>
      </c>
      <c r="O9" s="196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124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197"/>
      <c r="N10" s="197"/>
      <c r="O10" s="197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125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126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198" t="s">
        <v>90</v>
      </c>
      <c r="N12" s="198">
        <v>-0.5</v>
      </c>
      <c r="O12" s="198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127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199"/>
      <c r="N13" s="199"/>
      <c r="O13" s="199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128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3" t="s">
        <v>43</v>
      </c>
      <c r="B18" s="194"/>
      <c r="C18" s="195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29.6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7" t="s">
        <v>64</v>
      </c>
      <c r="B25" s="187"/>
      <c r="C25" s="187"/>
      <c r="D25" s="187"/>
      <c r="E25" s="187"/>
      <c r="F25" s="187"/>
      <c r="G25" s="187"/>
      <c r="H25" s="187"/>
      <c r="I25" s="187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0" t="s">
        <v>66</v>
      </c>
      <c r="B26" s="202" t="s">
        <v>84</v>
      </c>
      <c r="C26" s="65" t="s">
        <v>36</v>
      </c>
      <c r="D26" s="43" t="s">
        <v>35</v>
      </c>
      <c r="E26" s="202" t="s">
        <v>34</v>
      </c>
      <c r="F26" s="202"/>
      <c r="G26" s="202" t="s">
        <v>33</v>
      </c>
      <c r="H26" s="202"/>
      <c r="I26" s="202" t="s">
        <v>29</v>
      </c>
    </row>
    <row r="27" spans="1:21" s="10" customFormat="1" ht="13.5" thickBot="1" x14ac:dyDescent="0.3">
      <c r="A27" s="201"/>
      <c r="B27" s="203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203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8" t="s">
        <v>135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0">
        <v>45957</v>
      </c>
      <c r="B29" s="159" t="s">
        <v>135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0">
        <v>45957</v>
      </c>
      <c r="B30" s="159" t="s">
        <v>135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0">
        <v>45957</v>
      </c>
      <c r="B31" s="159" t="s">
        <v>135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4">
        <v>45957</v>
      </c>
      <c r="B32" s="165" t="s">
        <v>135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3">
        <v>45957</v>
      </c>
      <c r="B33" s="123" t="s">
        <v>136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0">
        <v>45957</v>
      </c>
      <c r="B34" s="159" t="s">
        <v>119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0">
        <v>45957</v>
      </c>
      <c r="B35" s="159" t="s">
        <v>136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0">
        <v>45957</v>
      </c>
      <c r="B36" s="159" t="s">
        <v>136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4">
        <v>45957</v>
      </c>
      <c r="B37" s="165" t="s">
        <v>136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3">
        <v>45957</v>
      </c>
      <c r="B38" s="123" t="s">
        <v>137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0">
        <v>45957</v>
      </c>
      <c r="B39" s="159" t="s">
        <v>137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0">
        <v>45957</v>
      </c>
      <c r="B40" s="159" t="s">
        <v>137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0">
        <v>45957</v>
      </c>
      <c r="B41" s="159" t="s">
        <v>137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1">
        <v>45957</v>
      </c>
      <c r="B42" s="162" t="s">
        <v>137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72F4-0212-4616-B4EB-1F325CF10DB7}">
  <dimension ref="A1:U43"/>
  <sheetViews>
    <sheetView showGridLines="0" view="pageBreakPreview" topLeftCell="A9" zoomScale="90" zoomScaleNormal="115" zoomScaleSheetLayoutView="9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7" t="s">
        <v>73</v>
      </c>
      <c r="B1" s="187"/>
      <c r="C1" s="187"/>
      <c r="D1" s="187"/>
      <c r="E1" s="187"/>
      <c r="F1" s="187"/>
      <c r="G1" s="187"/>
      <c r="H1" s="187"/>
      <c r="I1" s="187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88" t="s">
        <v>40</v>
      </c>
      <c r="B4" s="189"/>
      <c r="C4" s="190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120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1" t="s">
        <v>88</v>
      </c>
      <c r="N6" s="191">
        <v>-1.5</v>
      </c>
      <c r="O6" s="191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121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2"/>
      <c r="N7" s="192"/>
      <c r="O7" s="192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122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123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196" t="s">
        <v>89</v>
      </c>
      <c r="N9" s="196">
        <v>-0.75</v>
      </c>
      <c r="O9" s="196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124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197"/>
      <c r="N10" s="197"/>
      <c r="O10" s="197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125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126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198" t="s">
        <v>90</v>
      </c>
      <c r="N12" s="198">
        <v>-0.5</v>
      </c>
      <c r="O12" s="198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127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199"/>
      <c r="N13" s="199"/>
      <c r="O13" s="199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128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3" t="s">
        <v>43</v>
      </c>
      <c r="B18" s="194"/>
      <c r="C18" s="195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29.8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7" t="s">
        <v>64</v>
      </c>
      <c r="B25" s="187"/>
      <c r="C25" s="187"/>
      <c r="D25" s="187"/>
      <c r="E25" s="187"/>
      <c r="F25" s="187"/>
      <c r="G25" s="187"/>
      <c r="H25" s="187"/>
      <c r="I25" s="187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0" t="s">
        <v>66</v>
      </c>
      <c r="B26" s="202" t="s">
        <v>84</v>
      </c>
      <c r="C26" s="65" t="s">
        <v>36</v>
      </c>
      <c r="D26" s="43" t="s">
        <v>35</v>
      </c>
      <c r="E26" s="202" t="s">
        <v>34</v>
      </c>
      <c r="F26" s="202"/>
      <c r="G26" s="202" t="s">
        <v>33</v>
      </c>
      <c r="H26" s="202"/>
      <c r="I26" s="202" t="s">
        <v>29</v>
      </c>
    </row>
    <row r="27" spans="1:21" s="10" customFormat="1" ht="13.5" thickBot="1" x14ac:dyDescent="0.3">
      <c r="A27" s="201"/>
      <c r="B27" s="203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203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8" t="s">
        <v>138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0">
        <v>45957</v>
      </c>
      <c r="B29" s="159" t="s">
        <v>138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0">
        <v>45957</v>
      </c>
      <c r="B30" s="159" t="s">
        <v>138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0">
        <v>45957</v>
      </c>
      <c r="B31" s="159" t="s">
        <v>138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4">
        <v>45957</v>
      </c>
      <c r="B32" s="165" t="s">
        <v>138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3">
        <v>45957</v>
      </c>
      <c r="B33" s="123" t="s">
        <v>139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0">
        <v>45957</v>
      </c>
      <c r="B34" s="159" t="s">
        <v>139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0">
        <v>45957</v>
      </c>
      <c r="B35" s="159" t="s">
        <v>139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0">
        <v>45957</v>
      </c>
      <c r="B36" s="159" t="s">
        <v>139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4">
        <v>45957</v>
      </c>
      <c r="B37" s="165" t="s">
        <v>139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3">
        <v>45957</v>
      </c>
      <c r="B38" s="123" t="s">
        <v>140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0">
        <v>45957</v>
      </c>
      <c r="B39" s="159" t="s">
        <v>140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0">
        <v>45957</v>
      </c>
      <c r="B40" s="159" t="s">
        <v>140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0">
        <v>45957</v>
      </c>
      <c r="B41" s="159" t="s">
        <v>140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1">
        <v>45957</v>
      </c>
      <c r="B42" s="162" t="s">
        <v>140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B27D-ED5D-4AF0-A58D-5AEF4EC0C37E}">
  <dimension ref="A1:U43"/>
  <sheetViews>
    <sheetView showGridLines="0" view="pageBreakPreview" topLeftCell="A11" zoomScale="90" zoomScaleNormal="115" zoomScaleSheetLayoutView="9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7" t="s">
        <v>73</v>
      </c>
      <c r="B1" s="187"/>
      <c r="C1" s="187"/>
      <c r="D1" s="187"/>
      <c r="E1" s="187"/>
      <c r="F1" s="187"/>
      <c r="G1" s="187"/>
      <c r="H1" s="187"/>
      <c r="I1" s="187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88" t="s">
        <v>40</v>
      </c>
      <c r="B4" s="189"/>
      <c r="C4" s="190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120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1" t="s">
        <v>88</v>
      </c>
      <c r="N6" s="191">
        <v>-1.5</v>
      </c>
      <c r="O6" s="191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121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2"/>
      <c r="N7" s="192"/>
      <c r="O7" s="192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122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123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196" t="s">
        <v>89</v>
      </c>
      <c r="N9" s="196">
        <v>-0.75</v>
      </c>
      <c r="O9" s="196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124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197"/>
      <c r="N10" s="197"/>
      <c r="O10" s="197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125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126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198" t="s">
        <v>90</v>
      </c>
      <c r="N12" s="198">
        <v>-0.5</v>
      </c>
      <c r="O12" s="198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127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199"/>
      <c r="N13" s="199"/>
      <c r="O13" s="199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128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3" t="s">
        <v>43</v>
      </c>
      <c r="B18" s="194"/>
      <c r="C18" s="195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7" t="s">
        <v>64</v>
      </c>
      <c r="B25" s="187"/>
      <c r="C25" s="187"/>
      <c r="D25" s="187"/>
      <c r="E25" s="187"/>
      <c r="F25" s="187"/>
      <c r="G25" s="187"/>
      <c r="H25" s="187"/>
      <c r="I25" s="187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0" t="s">
        <v>66</v>
      </c>
      <c r="B26" s="202" t="s">
        <v>84</v>
      </c>
      <c r="C26" s="65" t="s">
        <v>36</v>
      </c>
      <c r="D26" s="43" t="s">
        <v>35</v>
      </c>
      <c r="E26" s="202" t="s">
        <v>34</v>
      </c>
      <c r="F26" s="202"/>
      <c r="G26" s="202" t="s">
        <v>33</v>
      </c>
      <c r="H26" s="202"/>
      <c r="I26" s="202" t="s">
        <v>29</v>
      </c>
    </row>
    <row r="27" spans="1:21" s="10" customFormat="1" ht="13.5" thickBot="1" x14ac:dyDescent="0.3">
      <c r="A27" s="201"/>
      <c r="B27" s="203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203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8" t="s">
        <v>141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0">
        <v>45957</v>
      </c>
      <c r="B29" s="159" t="s">
        <v>141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0">
        <v>45957</v>
      </c>
      <c r="B30" s="159" t="s">
        <v>141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0">
        <v>45957</v>
      </c>
      <c r="B31" s="159" t="s">
        <v>141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4">
        <v>45957</v>
      </c>
      <c r="B32" s="165" t="s">
        <v>141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3">
        <v>45957</v>
      </c>
      <c r="B33" s="123" t="s">
        <v>142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0">
        <v>45957</v>
      </c>
      <c r="B34" s="159" t="s">
        <v>142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0">
        <v>45957</v>
      </c>
      <c r="B35" s="159" t="s">
        <v>142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0">
        <v>45957</v>
      </c>
      <c r="B36" s="159" t="s">
        <v>142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4">
        <v>45957</v>
      </c>
      <c r="B37" s="165" t="s">
        <v>142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3">
        <v>45957</v>
      </c>
      <c r="B38" s="123" t="s">
        <v>143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0">
        <v>45957</v>
      </c>
      <c r="B39" s="159" t="s">
        <v>143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0">
        <v>45957</v>
      </c>
      <c r="B40" s="159" t="s">
        <v>143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0">
        <v>45957</v>
      </c>
      <c r="B41" s="159" t="s">
        <v>143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1">
        <v>45957</v>
      </c>
      <c r="B42" s="162" t="s">
        <v>143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D552-1F46-4D52-B918-484AE9F5BC5F}">
  <dimension ref="A1:U54"/>
  <sheetViews>
    <sheetView showGridLines="0" view="pageBreakPreview" zoomScaleNormal="115" zoomScaleSheetLayoutView="100" workbookViewId="0">
      <selection activeCell="A49" sqref="A49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">
      <c r="A1" s="55" t="s">
        <v>23</v>
      </c>
      <c r="B1" s="55"/>
      <c r="C1" s="55"/>
      <c r="D1" s="55"/>
      <c r="E1" s="55"/>
      <c r="F1" s="55"/>
      <c r="G1" s="55"/>
      <c r="H1" s="55"/>
      <c r="I1" s="55"/>
      <c r="M1" s="76">
        <f>IFERROR(VLOOKUP(#REF!,#REF!,6,0),0)</f>
        <v>0</v>
      </c>
      <c r="N1" s="21">
        <f>IFERROR(VLOOKUP(#REF!,#REF!,7,0),0)</f>
        <v>0</v>
      </c>
      <c r="O1" s="76">
        <f>IFERROR(VLOOKUP(#REF!,#REF!,6,0),0)</f>
        <v>0</v>
      </c>
      <c r="P1" s="21">
        <f>IFERROR(VLOOKUP(#REF!,#REF!,7,0),0)</f>
        <v>0</v>
      </c>
      <c r="Q1" s="76">
        <f>IFERROR(VLOOKUP(#REF!,C1:I1,6,0),IFERROR(VLOOKUP(#REF!,C1:I1,6,0),IFERROR(VLOOKUP(#REF!,C1:I1,6,0),0)))</f>
        <v>0</v>
      </c>
      <c r="R1" s="21">
        <f>IFERROR(VLOOKUP(#REF!,C1:I1,7,0),IFERROR(VLOOKUP(#REF!,C1:I1,7,0),IFERROR(VLOOKUP(#REF!,C1:I1,7,0),0)))</f>
        <v>0</v>
      </c>
      <c r="S1" s="24"/>
      <c r="T1" s="24"/>
      <c r="U1" s="24"/>
    </row>
    <row r="2" spans="1:21" s="24" customFormat="1" ht="18" x14ac:dyDescent="0.2">
      <c r="A2" s="27" t="s">
        <v>47</v>
      </c>
      <c r="B2" s="28"/>
      <c r="C2" s="29"/>
      <c r="D2" s="30"/>
      <c r="E2" s="29"/>
      <c r="F2" s="29"/>
      <c r="G2" s="29"/>
      <c r="H2" s="29"/>
      <c r="I2" s="29"/>
    </row>
    <row r="3" spans="1:21" s="24" customFormat="1" ht="18" x14ac:dyDescent="0.2">
      <c r="A3" s="32"/>
      <c r="B3" s="31"/>
      <c r="C3" s="166"/>
      <c r="D3" s="28"/>
    </row>
    <row r="4" spans="1:21" s="24" customFormat="1" ht="18" x14ac:dyDescent="0.2">
      <c r="A4" s="33"/>
      <c r="B4" s="34"/>
      <c r="C4" s="166"/>
      <c r="D4" s="28"/>
    </row>
    <row r="5" spans="1:21" s="24" customFormat="1" ht="18" x14ac:dyDescent="0.2">
      <c r="A5" s="35"/>
      <c r="B5" s="34"/>
      <c r="C5" s="166"/>
      <c r="D5" s="28"/>
    </row>
    <row r="6" spans="1:21" s="24" customFormat="1" ht="18" x14ac:dyDescent="0.2">
      <c r="A6" s="37"/>
      <c r="B6" s="154"/>
      <c r="C6" s="167"/>
      <c r="D6" s="28"/>
    </row>
    <row r="7" spans="1:21" s="24" customFormat="1" ht="15.75" x14ac:dyDescent="0.2">
      <c r="A7" s="38" t="s">
        <v>105</v>
      </c>
      <c r="B7" s="38"/>
      <c r="C7" s="38"/>
      <c r="D7" s="38"/>
    </row>
    <row r="8" spans="1:21" s="24" customFormat="1" ht="18" x14ac:dyDescent="0.2">
      <c r="B8" s="39"/>
      <c r="C8" s="39"/>
      <c r="D8" s="28"/>
      <c r="E8" s="28"/>
      <c r="F8" s="28"/>
      <c r="G8" s="28"/>
      <c r="H8" s="28"/>
      <c r="I8" s="28"/>
    </row>
    <row r="9" spans="1:21" s="24" customFormat="1" ht="18" x14ac:dyDescent="0.2">
      <c r="A9" s="27" t="s">
        <v>26</v>
      </c>
      <c r="B9" s="39"/>
      <c r="C9" s="39"/>
      <c r="D9" s="28"/>
      <c r="E9" s="28"/>
      <c r="F9" s="28"/>
      <c r="G9" s="28"/>
      <c r="H9" s="28"/>
      <c r="I9" s="28"/>
    </row>
    <row r="10" spans="1:21" s="24" customFormat="1" ht="18" x14ac:dyDescent="0.2">
      <c r="A10" s="32"/>
      <c r="B10" s="31"/>
      <c r="C10" s="166"/>
      <c r="D10" s="28"/>
      <c r="F10" s="28"/>
      <c r="G10" s="28"/>
      <c r="H10" s="28"/>
      <c r="I10" s="28"/>
    </row>
    <row r="11" spans="1:21" s="24" customFormat="1" ht="18" x14ac:dyDescent="0.2">
      <c r="A11" s="33"/>
      <c r="B11" s="34"/>
      <c r="C11" s="166"/>
      <c r="D11" s="28"/>
      <c r="F11" s="28"/>
      <c r="G11" s="28"/>
      <c r="H11" s="28"/>
      <c r="I11" s="28"/>
    </row>
    <row r="12" spans="1:21" s="24" customFormat="1" ht="18" x14ac:dyDescent="0.2">
      <c r="A12" s="33"/>
      <c r="B12" s="34"/>
      <c r="C12" s="166"/>
      <c r="D12" s="28"/>
      <c r="F12" s="28"/>
      <c r="G12" s="28"/>
      <c r="H12" s="28"/>
      <c r="I12" s="28"/>
    </row>
    <row r="13" spans="1:21" s="24" customFormat="1" ht="18" x14ac:dyDescent="0.2">
      <c r="A13" s="33"/>
      <c r="B13" s="34"/>
      <c r="C13" s="166"/>
      <c r="D13" s="28"/>
      <c r="F13" s="8"/>
      <c r="G13" s="8"/>
      <c r="H13" s="8"/>
      <c r="I13" s="8"/>
    </row>
    <row r="14" spans="1:21" s="24" customFormat="1" ht="18" x14ac:dyDescent="0.2">
      <c r="A14" s="37"/>
      <c r="B14" s="36"/>
      <c r="C14" s="166"/>
      <c r="D14" s="28"/>
      <c r="F14" s="8"/>
      <c r="G14" s="8"/>
      <c r="H14" s="8"/>
      <c r="I14" s="8"/>
    </row>
    <row r="15" spans="1:21" s="24" customFormat="1" ht="20.25" x14ac:dyDescent="0.2">
      <c r="A15" s="38" t="s">
        <v>48</v>
      </c>
      <c r="B15" s="40"/>
      <c r="C15" s="40"/>
      <c r="D15" s="41"/>
      <c r="F15" s="41"/>
      <c r="G15" s="41"/>
      <c r="H15" s="41"/>
      <c r="I15" s="41"/>
    </row>
    <row r="16" spans="1:21" s="24" customFormat="1" ht="20.25" x14ac:dyDescent="0.2">
      <c r="A16" s="38"/>
      <c r="B16" s="40"/>
      <c r="C16" s="40"/>
      <c r="D16" s="41"/>
      <c r="F16" s="41"/>
      <c r="G16" s="41"/>
      <c r="H16" s="41"/>
      <c r="I16" s="41"/>
    </row>
    <row r="17" spans="1:9" s="24" customFormat="1" ht="20.25" x14ac:dyDescent="0.2">
      <c r="A17" s="38"/>
      <c r="B17" s="40"/>
      <c r="C17" s="40"/>
      <c r="D17" s="41"/>
      <c r="F17" s="41"/>
      <c r="G17" s="41"/>
      <c r="H17" s="41"/>
      <c r="I17" s="41"/>
    </row>
    <row r="18" spans="1:9" s="24" customFormat="1" ht="20.25" x14ac:dyDescent="0.2">
      <c r="A18" s="38"/>
      <c r="B18" s="40"/>
      <c r="C18" s="40"/>
      <c r="D18" s="41"/>
      <c r="F18" s="41"/>
      <c r="G18" s="41"/>
      <c r="H18" s="41"/>
      <c r="I18" s="41"/>
    </row>
    <row r="19" spans="1:9" s="24" customFormat="1" ht="20.25" x14ac:dyDescent="0.2">
      <c r="A19" s="38"/>
      <c r="B19" s="40"/>
      <c r="C19" s="40"/>
      <c r="D19" s="41"/>
      <c r="F19" s="41"/>
      <c r="G19" s="41"/>
      <c r="H19" s="41"/>
      <c r="I19" s="41"/>
    </row>
    <row r="20" spans="1:9" s="24" customFormat="1" ht="20.25" x14ac:dyDescent="0.2">
      <c r="A20" s="38"/>
      <c r="B20" s="40"/>
      <c r="C20" s="40"/>
      <c r="D20" s="41"/>
      <c r="F20" s="41"/>
      <c r="G20" s="41"/>
      <c r="H20" s="41"/>
      <c r="I20" s="41"/>
    </row>
    <row r="21" spans="1:9" s="24" customFormat="1" ht="20.25" x14ac:dyDescent="0.2">
      <c r="A21" s="38"/>
      <c r="B21" s="40"/>
      <c r="C21" s="40"/>
      <c r="D21" s="41"/>
      <c r="F21" s="41"/>
      <c r="G21" s="41"/>
      <c r="H21" s="41"/>
      <c r="I21" s="41"/>
    </row>
    <row r="22" spans="1:9" s="24" customFormat="1" ht="20.25" x14ac:dyDescent="0.2">
      <c r="A22" s="38"/>
      <c r="B22" s="40"/>
      <c r="C22" s="40"/>
      <c r="D22" s="41"/>
      <c r="F22" s="41"/>
      <c r="G22" s="41"/>
      <c r="H22" s="41"/>
      <c r="I22" s="41"/>
    </row>
    <row r="23" spans="1:9" s="24" customFormat="1" ht="20.25" x14ac:dyDescent="0.2">
      <c r="A23" s="38"/>
      <c r="B23" s="40"/>
      <c r="C23" s="40"/>
      <c r="D23" s="41"/>
      <c r="F23" s="41"/>
      <c r="G23" s="41"/>
      <c r="H23" s="41"/>
      <c r="I23" s="41"/>
    </row>
    <row r="24" spans="1:9" s="24" customFormat="1" ht="20.25" x14ac:dyDescent="0.2">
      <c r="A24" s="38"/>
      <c r="B24" s="40"/>
      <c r="C24" s="40"/>
      <c r="D24" s="41"/>
      <c r="F24" s="41"/>
      <c r="G24" s="41"/>
      <c r="H24" s="41"/>
      <c r="I24" s="41"/>
    </row>
    <row r="25" spans="1:9" s="24" customFormat="1" ht="20.25" x14ac:dyDescent="0.2">
      <c r="A25" s="38"/>
      <c r="B25" s="40"/>
      <c r="C25" s="40"/>
      <c r="D25" s="41"/>
      <c r="F25" s="41"/>
      <c r="G25" s="41"/>
      <c r="H25" s="41"/>
      <c r="I25" s="41"/>
    </row>
    <row r="26" spans="1:9" s="24" customFormat="1" ht="20.25" x14ac:dyDescent="0.2">
      <c r="A26" s="38"/>
      <c r="B26" s="40"/>
      <c r="C26" s="40"/>
      <c r="D26" s="41"/>
      <c r="F26" s="41"/>
      <c r="G26" s="41"/>
      <c r="H26" s="41"/>
      <c r="I26" s="41"/>
    </row>
    <row r="27" spans="1:9" s="24" customFormat="1" ht="20.25" x14ac:dyDescent="0.2">
      <c r="A27" s="38"/>
      <c r="B27" s="40"/>
      <c r="C27" s="40"/>
      <c r="D27" s="41"/>
      <c r="F27" s="41"/>
      <c r="G27" s="41"/>
      <c r="H27" s="41"/>
      <c r="I27" s="41"/>
    </row>
    <row r="28" spans="1:9" s="24" customFormat="1" ht="20.25" x14ac:dyDescent="0.2">
      <c r="A28" s="38"/>
      <c r="B28" s="40"/>
      <c r="C28" s="40"/>
      <c r="D28" s="41"/>
      <c r="F28" s="41"/>
      <c r="G28" s="41"/>
      <c r="H28" s="41"/>
      <c r="I28" s="41"/>
    </row>
    <row r="29" spans="1:9" s="24" customFormat="1" ht="20.25" x14ac:dyDescent="0.2">
      <c r="A29" s="38"/>
      <c r="B29" s="40"/>
      <c r="C29" s="40"/>
      <c r="D29" s="41"/>
      <c r="F29" s="41"/>
      <c r="G29" s="41"/>
      <c r="H29" s="41"/>
      <c r="I29" s="41"/>
    </row>
    <row r="30" spans="1:9" s="24" customFormat="1" ht="20.25" x14ac:dyDescent="0.2">
      <c r="A30" s="38"/>
      <c r="B30" s="40"/>
      <c r="C30" s="40"/>
      <c r="D30" s="41"/>
      <c r="F30" s="41"/>
      <c r="G30" s="41"/>
      <c r="H30" s="41"/>
      <c r="I30" s="41"/>
    </row>
    <row r="31" spans="1:9" s="24" customFormat="1" ht="20.25" x14ac:dyDescent="0.2">
      <c r="A31" s="38"/>
      <c r="B31" s="40"/>
      <c r="C31" s="40"/>
      <c r="D31" s="41"/>
      <c r="F31" s="41"/>
      <c r="G31" s="41"/>
      <c r="H31" s="41"/>
      <c r="I31" s="41"/>
    </row>
    <row r="32" spans="1:9" s="24" customFormat="1" ht="20.25" x14ac:dyDescent="0.2">
      <c r="A32" s="38"/>
      <c r="B32" s="40"/>
      <c r="C32" s="40"/>
      <c r="D32" s="41"/>
      <c r="F32" s="41"/>
      <c r="G32" s="41"/>
      <c r="H32" s="41"/>
      <c r="I32" s="41"/>
    </row>
    <row r="33" spans="1:9" s="24" customFormat="1" ht="20.25" x14ac:dyDescent="0.2">
      <c r="A33" s="38"/>
      <c r="B33" s="40"/>
      <c r="C33" s="40"/>
      <c r="D33" s="41"/>
      <c r="F33" s="41"/>
      <c r="G33" s="41"/>
      <c r="H33" s="41"/>
      <c r="I33" s="41"/>
    </row>
    <row r="34" spans="1:9" s="24" customFormat="1" ht="20.25" x14ac:dyDescent="0.2">
      <c r="A34" s="38"/>
      <c r="B34" s="40"/>
      <c r="C34" s="40"/>
      <c r="D34" s="41"/>
      <c r="F34" s="41"/>
      <c r="G34" s="41"/>
      <c r="H34" s="41"/>
      <c r="I34" s="41"/>
    </row>
    <row r="35" spans="1:9" s="24" customFormat="1" ht="20.25" x14ac:dyDescent="0.2">
      <c r="A35" s="38"/>
      <c r="B35" s="40"/>
      <c r="C35" s="40"/>
      <c r="D35" s="41"/>
      <c r="F35" s="41"/>
      <c r="G35" s="41"/>
      <c r="H35" s="41"/>
      <c r="I35" s="41"/>
    </row>
    <row r="36" spans="1:9" s="24" customFormat="1" ht="20.25" x14ac:dyDescent="0.2">
      <c r="A36" s="38"/>
      <c r="B36" s="40"/>
      <c r="C36" s="40"/>
      <c r="D36" s="41"/>
      <c r="F36" s="41"/>
      <c r="G36" s="41"/>
      <c r="H36" s="41"/>
      <c r="I36" s="41"/>
    </row>
    <row r="37" spans="1:9" s="24" customFormat="1" ht="20.25" x14ac:dyDescent="0.2">
      <c r="A37" s="38"/>
      <c r="B37" s="40"/>
      <c r="C37" s="40"/>
      <c r="D37" s="41"/>
      <c r="F37" s="41"/>
      <c r="G37" s="41"/>
      <c r="H37" s="41"/>
      <c r="I37" s="41"/>
    </row>
    <row r="38" spans="1:9" s="24" customFormat="1" ht="20.25" x14ac:dyDescent="0.2">
      <c r="A38" s="38"/>
      <c r="B38" s="40"/>
      <c r="C38" s="40"/>
      <c r="D38" s="41"/>
      <c r="F38" s="41"/>
      <c r="G38" s="41"/>
      <c r="H38" s="41"/>
      <c r="I38" s="41"/>
    </row>
    <row r="39" spans="1:9" s="24" customFormat="1" ht="20.25" x14ac:dyDescent="0.2">
      <c r="A39" s="38"/>
      <c r="B39" s="40"/>
      <c r="C39" s="40"/>
      <c r="D39" s="41"/>
      <c r="F39" s="41"/>
      <c r="G39" s="41"/>
      <c r="H39" s="41"/>
      <c r="I39" s="41"/>
    </row>
    <row r="40" spans="1:9" s="24" customFormat="1" ht="20.25" x14ac:dyDescent="0.2">
      <c r="A40" s="38"/>
      <c r="B40" s="40"/>
      <c r="C40" s="40"/>
      <c r="D40" s="41"/>
      <c r="F40" s="41"/>
      <c r="G40" s="41"/>
      <c r="H40" s="41"/>
      <c r="I40" s="41"/>
    </row>
    <row r="41" spans="1:9" s="24" customFormat="1" ht="20.25" x14ac:dyDescent="0.2">
      <c r="A41" s="38"/>
      <c r="B41" s="40"/>
      <c r="C41" s="40"/>
      <c r="D41" s="41"/>
      <c r="F41" s="41"/>
      <c r="G41" s="41"/>
      <c r="H41" s="41"/>
      <c r="I41" s="41"/>
    </row>
    <row r="42" spans="1:9" s="24" customFormat="1" ht="20.25" x14ac:dyDescent="0.2">
      <c r="A42" s="38"/>
      <c r="B42" s="40"/>
      <c r="C42" s="40"/>
      <c r="D42" s="41"/>
      <c r="F42" s="41"/>
      <c r="G42" s="41"/>
      <c r="H42" s="41"/>
      <c r="I42" s="41"/>
    </row>
    <row r="43" spans="1:9" s="24" customFormat="1" ht="20.25" x14ac:dyDescent="0.2">
      <c r="A43" s="38"/>
      <c r="B43" s="40"/>
      <c r="C43" s="40"/>
      <c r="D43" s="41"/>
      <c r="F43" s="41"/>
      <c r="G43" s="41"/>
      <c r="H43" s="41"/>
      <c r="I43" s="41"/>
    </row>
    <row r="44" spans="1:9" s="24" customFormat="1" ht="20.25" x14ac:dyDescent="0.2">
      <c r="A44" s="38"/>
      <c r="B44" s="40"/>
      <c r="C44" s="40"/>
      <c r="D44" s="41"/>
      <c r="F44" s="41"/>
      <c r="G44" s="41"/>
      <c r="H44" s="41"/>
      <c r="I44" s="41"/>
    </row>
    <row r="45" spans="1:9" s="24" customFormat="1" ht="20.25" x14ac:dyDescent="0.2">
      <c r="A45" s="38"/>
      <c r="B45" s="40"/>
      <c r="C45" s="40"/>
      <c r="D45" s="41"/>
      <c r="F45" s="41"/>
      <c r="G45" s="41"/>
      <c r="H45" s="41"/>
      <c r="I45" s="41"/>
    </row>
    <row r="46" spans="1:9" s="24" customFormat="1" ht="20.25" x14ac:dyDescent="0.2">
      <c r="A46" s="38"/>
      <c r="B46" s="40"/>
      <c r="C46" s="40"/>
      <c r="D46" s="41"/>
      <c r="F46" s="41"/>
      <c r="G46" s="41"/>
      <c r="H46" s="41"/>
      <c r="I46" s="41"/>
    </row>
    <row r="47" spans="1:9" s="24" customFormat="1" ht="20.25" x14ac:dyDescent="0.2">
      <c r="A47" s="38"/>
      <c r="B47" s="40"/>
      <c r="C47" s="40"/>
      <c r="D47" s="41"/>
      <c r="F47" s="41"/>
      <c r="G47" s="41"/>
      <c r="H47" s="41"/>
      <c r="I47" s="41"/>
    </row>
    <row r="48" spans="1:9" s="24" customFormat="1" ht="20.25" x14ac:dyDescent="0.2">
      <c r="A48" s="38"/>
      <c r="B48" s="40"/>
      <c r="C48" s="40"/>
      <c r="D48" s="41"/>
      <c r="F48" s="41"/>
      <c r="G48" s="41"/>
      <c r="H48" s="41"/>
      <c r="I48" s="41"/>
    </row>
    <row r="49" spans="1:21" s="24" customFormat="1" ht="20.25" x14ac:dyDescent="0.2">
      <c r="A49" s="38"/>
      <c r="B49" s="40"/>
      <c r="C49" s="40"/>
      <c r="D49" s="41"/>
      <c r="F49" s="41"/>
      <c r="G49" s="41"/>
      <c r="H49" s="41"/>
      <c r="I49" s="41"/>
    </row>
    <row r="50" spans="1:21" s="24" customFormat="1" ht="20.25" x14ac:dyDescent="0.2">
      <c r="A50" s="38"/>
      <c r="B50" s="40"/>
      <c r="C50" s="40"/>
      <c r="D50" s="41"/>
      <c r="F50" s="41"/>
      <c r="G50" s="41"/>
      <c r="H50" s="41"/>
      <c r="I50" s="41"/>
    </row>
    <row r="51" spans="1:21" s="24" customFormat="1" ht="20.25" x14ac:dyDescent="0.2">
      <c r="A51" s="38"/>
      <c r="B51" s="40"/>
      <c r="C51" s="40"/>
      <c r="D51" s="41"/>
      <c r="F51" s="41"/>
      <c r="G51" s="41"/>
      <c r="H51" s="41"/>
      <c r="I51" s="41"/>
    </row>
    <row r="52" spans="1:21" s="24" customFormat="1" ht="18" x14ac:dyDescent="0.2">
      <c r="A52" s="8"/>
      <c r="B52" s="8"/>
      <c r="C52" s="8"/>
      <c r="D52" s="8"/>
      <c r="E52" s="8"/>
      <c r="F52" s="8"/>
      <c r="G52" s="8"/>
      <c r="H52" s="8"/>
      <c r="I52" s="8"/>
      <c r="M52" s="9"/>
      <c r="N52" s="9"/>
      <c r="O52" s="9"/>
      <c r="P52" s="9"/>
      <c r="Q52" s="9"/>
      <c r="R52" s="9"/>
      <c r="S52" s="9"/>
      <c r="T52" s="9"/>
      <c r="U52" s="9"/>
    </row>
    <row r="53" spans="1:21" s="24" customFormat="1" ht="42.6" customHeight="1" x14ac:dyDescent="0.2">
      <c r="A53" s="206" t="s">
        <v>111</v>
      </c>
      <c r="B53" s="206"/>
      <c r="C53" s="206"/>
      <c r="D53" s="206"/>
      <c r="E53" s="206"/>
      <c r="F53" s="206"/>
      <c r="G53" s="206"/>
      <c r="H53" s="206"/>
      <c r="I53" s="206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M54" s="10"/>
      <c r="N54" s="10"/>
      <c r="O54" s="10"/>
      <c r="P54" s="10"/>
      <c r="Q54" s="10"/>
      <c r="R54" s="10"/>
      <c r="S54" s="10"/>
      <c r="T54" s="10"/>
      <c r="U54" s="10"/>
    </row>
  </sheetData>
  <mergeCells count="1">
    <mergeCell ref="A53:I53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69" orientation="portrait" horizontalDpi="4294967294" verticalDpi="300" r:id="rId1"/>
  <headerFooter>
    <oddFooter>&amp;L&amp;"Arial,Normal"Local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Dados</vt:lpstr>
      <vt:lpstr>Consulta</vt:lpstr>
      <vt:lpstr>5</vt:lpstr>
      <vt:lpstr>7</vt:lpstr>
      <vt:lpstr>8</vt:lpstr>
      <vt:lpstr>9</vt:lpstr>
      <vt:lpstr>11</vt:lpstr>
      <vt:lpstr>Assis.</vt:lpstr>
      <vt:lpstr>'11'!Area_de_impressao</vt:lpstr>
      <vt:lpstr>'5'!Area_de_impressao</vt:lpstr>
      <vt:lpstr>'7'!Area_de_impressao</vt:lpstr>
      <vt:lpstr>'8'!Area_de_impressao</vt:lpstr>
      <vt:lpstr>'9'!Area_de_impressao</vt:lpstr>
      <vt:lpstr>Assis.!Area_de_impressao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fabrica21</cp:lastModifiedBy>
  <cp:lastPrinted>2025-10-28T12:54:54Z</cp:lastPrinted>
  <dcterms:created xsi:type="dcterms:W3CDTF">2015-10-16T13:20:10Z</dcterms:created>
  <dcterms:modified xsi:type="dcterms:W3CDTF">2025-11-06T18:09:30Z</dcterms:modified>
</cp:coreProperties>
</file>